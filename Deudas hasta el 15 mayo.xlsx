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urumendi\Documents\Diego\"/>
    </mc:Choice>
  </mc:AlternateContent>
  <xr:revisionPtr revIDLastSave="0" documentId="13_ncr:1_{5E75DA83-8FF6-4C86-8F53-36A21F56899A}" xr6:coauthVersionLast="47" xr6:coauthVersionMax="47" xr10:uidLastSave="{00000000-0000-0000-0000-000000000000}"/>
  <bookViews>
    <workbookView xWindow="-120" yWindow="-120" windowWidth="29040" windowHeight="15720" activeTab="1" xr2:uid="{804435DD-68A1-43EA-BE5B-93F73017E4AA}"/>
  </bookViews>
  <sheets>
    <sheet name="Hoja1" sheetId="1" r:id="rId1"/>
    <sheet name="Hoja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9" i="2" l="1"/>
  <c r="AJ61" i="2"/>
  <c r="AJ72" i="2" s="1"/>
  <c r="U77" i="2"/>
  <c r="AF72" i="2"/>
  <c r="AF67" i="2"/>
  <c r="AF69" i="2"/>
  <c r="AF63" i="2"/>
  <c r="AF68" i="2"/>
  <c r="AF58" i="2"/>
  <c r="AF61" i="2"/>
  <c r="H90" i="2"/>
  <c r="H89" i="2"/>
  <c r="H88" i="2"/>
  <c r="G85" i="2"/>
  <c r="G81" i="2"/>
  <c r="H76" i="2"/>
  <c r="U79" i="2"/>
  <c r="U78" i="2"/>
  <c r="AB67" i="2"/>
  <c r="AB68" i="2"/>
  <c r="AB61" i="2"/>
  <c r="AB58" i="2"/>
  <c r="AB56" i="2"/>
  <c r="AB69" i="2"/>
  <c r="J53" i="2"/>
  <c r="X69" i="2"/>
  <c r="T69" i="2"/>
  <c r="P69" i="2"/>
  <c r="X68" i="2"/>
  <c r="X67" i="2"/>
  <c r="T67" i="2"/>
  <c r="T68" i="2"/>
  <c r="P68" i="2"/>
  <c r="P67" i="2"/>
  <c r="T56" i="2"/>
  <c r="X56" i="2"/>
  <c r="F28" i="2"/>
  <c r="M67" i="1"/>
  <c r="F67" i="2"/>
  <c r="P56" i="2"/>
  <c r="B18" i="2"/>
  <c r="J31" i="1"/>
  <c r="O42" i="1" s="1"/>
  <c r="O52" i="1"/>
  <c r="O48" i="1"/>
  <c r="B13" i="2"/>
  <c r="O46" i="1"/>
  <c r="Q30" i="2"/>
  <c r="O30" i="2"/>
  <c r="M30" i="2"/>
  <c r="K30" i="2"/>
  <c r="I30" i="2"/>
  <c r="G30" i="2"/>
  <c r="B35" i="2"/>
  <c r="B34" i="2"/>
  <c r="B38" i="2" s="1"/>
  <c r="P28" i="2"/>
  <c r="N28" i="2"/>
  <c r="L28" i="2"/>
  <c r="J28" i="2"/>
  <c r="H28" i="2"/>
  <c r="B9" i="2"/>
  <c r="B14" i="2" s="1"/>
  <c r="K37" i="1"/>
  <c r="K36" i="1"/>
  <c r="I44" i="1"/>
  <c r="O140" i="1"/>
  <c r="S130" i="1"/>
  <c r="T138" i="1" s="1"/>
  <c r="B17" i="1"/>
  <c r="I31" i="1" s="1"/>
  <c r="I45" i="1" s="1"/>
  <c r="N108" i="1"/>
  <c r="N105" i="1"/>
  <c r="M105" i="1"/>
  <c r="L105" i="1"/>
  <c r="N51" i="1"/>
  <c r="M66" i="1"/>
  <c r="I99" i="1"/>
  <c r="L97" i="1"/>
  <c r="O78" i="1"/>
  <c r="O65" i="1"/>
  <c r="T31" i="1"/>
  <c r="AD42" i="1" s="1"/>
  <c r="AB21" i="1"/>
  <c r="X42" i="1"/>
  <c r="U42" i="1"/>
  <c r="R31" i="1"/>
  <c r="P31" i="1"/>
  <c r="N31" i="1"/>
  <c r="M31" i="1"/>
  <c r="R46" i="1" s="1"/>
  <c r="R48" i="1" s="1"/>
  <c r="R50" i="1" s="1"/>
  <c r="L31" i="1"/>
  <c r="R42" i="1" s="1"/>
  <c r="B33" i="1"/>
  <c r="H31" i="1"/>
  <c r="F31" i="1"/>
  <c r="B12" i="1"/>
  <c r="AB63" i="2" l="1"/>
  <c r="AB72" i="2"/>
  <c r="G36" i="1"/>
  <c r="K28" i="2"/>
  <c r="X58" i="2" s="1"/>
  <c r="X61" i="2" s="1"/>
  <c r="X63" i="2" s="1"/>
  <c r="X72" i="2" s="1"/>
  <c r="I28" i="2"/>
  <c r="T58" i="2" s="1"/>
  <c r="T61" i="2" s="1"/>
  <c r="T63" i="2" s="1"/>
  <c r="T72" i="2" s="1"/>
  <c r="G28" i="2"/>
  <c r="P58" i="2" s="1"/>
  <c r="P61" i="2" s="1"/>
  <c r="P63" i="2" s="1"/>
  <c r="P72" i="2" s="1"/>
  <c r="Q28" i="2"/>
  <c r="O28" i="2"/>
  <c r="M28" i="2"/>
  <c r="U31" i="1"/>
  <c r="AD46" i="1" s="1"/>
  <c r="AD48" i="1" s="1"/>
  <c r="AD50" i="1" s="1"/>
  <c r="S31" i="1"/>
  <c r="AA41" i="1" s="1"/>
  <c r="AA43" i="1" s="1"/>
  <c r="AA46" i="1" s="1"/>
  <c r="G31" i="1"/>
  <c r="O31" i="1"/>
  <c r="U46" i="1" s="1"/>
  <c r="U48" i="1" s="1"/>
  <c r="U50" i="1" s="1"/>
  <c r="Q31" i="1"/>
  <c r="X46" i="1" s="1"/>
  <c r="X48" i="1" s="1"/>
  <c r="X50" i="1" s="1"/>
  <c r="X53" i="1" s="1"/>
  <c r="U80" i="2" l="1"/>
  <c r="X52" i="1"/>
  <c r="K31" i="1"/>
  <c r="O50" i="1" s="1"/>
  <c r="O77" i="1" l="1"/>
</calcChain>
</file>

<file path=xl/sharedStrings.xml><?xml version="1.0" encoding="utf-8"?>
<sst xmlns="http://schemas.openxmlformats.org/spreadsheetml/2006/main" count="268" uniqueCount="145">
  <si>
    <t>Tabla de Deudas</t>
  </si>
  <si>
    <t xml:space="preserve">Salario </t>
  </si>
  <si>
    <t>Anticipo quincena</t>
  </si>
  <si>
    <t>Pago del IESS</t>
  </si>
  <si>
    <t>Clase de deuda</t>
  </si>
  <si>
    <t xml:space="preserve">Lo que Queda del sueldo </t>
  </si>
  <si>
    <t>Pañales Isis</t>
  </si>
  <si>
    <t xml:space="preserve">Pediatra </t>
  </si>
  <si>
    <t xml:space="preserve">Pasaje </t>
  </si>
  <si>
    <t>Comida para el Hogar</t>
  </si>
  <si>
    <t xml:space="preserve">Valor a Recibir fin de Mes </t>
  </si>
  <si>
    <t>Caja de ahorro</t>
  </si>
  <si>
    <t xml:space="preserve">recarga tuenti </t>
  </si>
  <si>
    <t>leche bb</t>
  </si>
  <si>
    <t>Alimentación</t>
  </si>
  <si>
    <t>pastilla bb</t>
  </si>
  <si>
    <t>claude</t>
  </si>
  <si>
    <t xml:space="preserve">fondos de reserva </t>
  </si>
  <si>
    <t>naviplan</t>
  </si>
  <si>
    <t>ropa en general</t>
  </si>
  <si>
    <t>Prestamo David</t>
  </si>
  <si>
    <t xml:space="preserve">pastillas de crecimiento </t>
  </si>
  <si>
    <t>remedios</t>
  </si>
  <si>
    <t>guardar</t>
  </si>
  <si>
    <t>15-07-2026</t>
  </si>
  <si>
    <t>30-07-2026</t>
  </si>
  <si>
    <t>deuda david</t>
  </si>
  <si>
    <t>15-08-2026</t>
  </si>
  <si>
    <t>30-08-2026</t>
  </si>
  <si>
    <t>30-09-2026</t>
  </si>
  <si>
    <t>BP</t>
  </si>
  <si>
    <t>BG</t>
  </si>
  <si>
    <t>deuda rupeyt</t>
  </si>
  <si>
    <t>deuda iliana</t>
  </si>
  <si>
    <t>cumple carol</t>
  </si>
  <si>
    <t xml:space="preserve">valor que me dan a mi sueldo a fin de mes </t>
  </si>
  <si>
    <t>guardado para pago de julio tarjeta de credito</t>
  </si>
  <si>
    <t>quedan</t>
  </si>
  <si>
    <t>fin de mes</t>
  </si>
  <si>
    <t xml:space="preserve">queda sueldo </t>
  </si>
  <si>
    <t>ropa de navidad</t>
  </si>
  <si>
    <t>septiembre</t>
  </si>
  <si>
    <t>15-10-2026</t>
  </si>
  <si>
    <t>30-10-2026</t>
  </si>
  <si>
    <t>Mes 15 de Septiembre</t>
  </si>
  <si>
    <t>Mes 15 de Octubre</t>
  </si>
  <si>
    <t>octubre</t>
  </si>
  <si>
    <t>15-11-2026</t>
  </si>
  <si>
    <t>30-11-2026</t>
  </si>
  <si>
    <t>15-12-2026</t>
  </si>
  <si>
    <t>30-12-2026</t>
  </si>
  <si>
    <t>15-01-2027</t>
  </si>
  <si>
    <t>30-01-2027</t>
  </si>
  <si>
    <t>Mes 15 de Noviembre</t>
  </si>
  <si>
    <t>cuotas</t>
  </si>
  <si>
    <t>Mes 15 de Diciembre</t>
  </si>
  <si>
    <t>valor a pagar</t>
  </si>
  <si>
    <t>valor hasta navidad</t>
  </si>
  <si>
    <t>decimo de diciembre</t>
  </si>
  <si>
    <t xml:space="preserve">coompra ropa </t>
  </si>
  <si>
    <t>isis</t>
  </si>
  <si>
    <t>Diego</t>
  </si>
  <si>
    <t xml:space="preserve">Carol </t>
  </si>
  <si>
    <t>puede Variar</t>
  </si>
  <si>
    <t>enero cumpleaños isis</t>
  </si>
  <si>
    <t xml:space="preserve">minimo </t>
  </si>
  <si>
    <t>Dolares</t>
  </si>
  <si>
    <t>final de enero</t>
  </si>
  <si>
    <t>15-02-2027</t>
  </si>
  <si>
    <t>30-02-2027</t>
  </si>
  <si>
    <t>Mes 15 de febrero</t>
  </si>
  <si>
    <t>febrero</t>
  </si>
  <si>
    <t>Enero</t>
  </si>
  <si>
    <t>nov</t>
  </si>
  <si>
    <t>Dic</t>
  </si>
  <si>
    <t xml:space="preserve">reserva </t>
  </si>
  <si>
    <t>abono</t>
  </si>
  <si>
    <t>guardar para pago del banco guayaquil</t>
  </si>
  <si>
    <t>prestamo banco</t>
  </si>
  <si>
    <t>sep</t>
  </si>
  <si>
    <t>oct</t>
  </si>
  <si>
    <t>Ene</t>
  </si>
  <si>
    <t>feb</t>
  </si>
  <si>
    <t>pagar con lo planeado</t>
  </si>
  <si>
    <t>dividir pagos</t>
  </si>
  <si>
    <t>banco</t>
  </si>
  <si>
    <t>maestria</t>
  </si>
  <si>
    <t xml:space="preserve">otros guardados </t>
  </si>
  <si>
    <t>fin de mes julio</t>
  </si>
  <si>
    <t>navidad</t>
  </si>
  <si>
    <t>fechas de cobros de unir</t>
  </si>
  <si>
    <t>15-09-2026</t>
  </si>
  <si>
    <t xml:space="preserve">zapatos </t>
  </si>
  <si>
    <t>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</si>
  <si>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</t>
  </si>
  <si>
    <t>tarjeta de credito  pago</t>
  </si>
  <si>
    <t>jeff</t>
  </si>
  <si>
    <t xml:space="preserve">tengo </t>
  </si>
  <si>
    <t xml:space="preserve">unir Maestria </t>
  </si>
  <si>
    <t>agosto</t>
  </si>
  <si>
    <t>deudas total</t>
  </si>
  <si>
    <t>Maestria</t>
  </si>
  <si>
    <t xml:space="preserve">tarjeta de credito </t>
  </si>
  <si>
    <t xml:space="preserve">total deudas </t>
  </si>
  <si>
    <t>pago  mñn 25</t>
  </si>
  <si>
    <t xml:space="preserve">valor guardado </t>
  </si>
  <si>
    <t>Valores guardados</t>
  </si>
  <si>
    <t xml:space="preserve"> </t>
  </si>
  <si>
    <t>guardar maestria o banco</t>
  </si>
  <si>
    <t>total 15 - 30 sep</t>
  </si>
  <si>
    <t>con fondos de reserva</t>
  </si>
  <si>
    <t>aquí</t>
  </si>
  <si>
    <t>Octubre</t>
  </si>
  <si>
    <t>Septiembre</t>
  </si>
  <si>
    <t>Ropa de navidad</t>
  </si>
  <si>
    <t>Decimo</t>
  </si>
  <si>
    <t xml:space="preserve">Valores a recibir </t>
  </si>
  <si>
    <t>guardado</t>
  </si>
  <si>
    <t>deuda jeff</t>
  </si>
  <si>
    <t xml:space="preserve">pagados </t>
  </si>
  <si>
    <t>Pago maestria</t>
  </si>
  <si>
    <t>Pago banco</t>
  </si>
  <si>
    <t>queda</t>
  </si>
  <si>
    <t>dic</t>
  </si>
  <si>
    <t>cuota 2</t>
  </si>
  <si>
    <t>cuota 3</t>
  </si>
  <si>
    <t>cuota 4</t>
  </si>
  <si>
    <t>cuota 5</t>
  </si>
  <si>
    <t xml:space="preserve">valores guardados </t>
  </si>
  <si>
    <t>queda mayor</t>
  </si>
  <si>
    <t xml:space="preserve">decimo </t>
  </si>
  <si>
    <t>prestamo</t>
  </si>
  <si>
    <t xml:space="preserve">carol </t>
  </si>
  <si>
    <t xml:space="preserve">isis </t>
  </si>
  <si>
    <t xml:space="preserve">Diego </t>
  </si>
  <si>
    <t>valor guardado para navidad</t>
  </si>
  <si>
    <t>viaje de la bb playa</t>
  </si>
  <si>
    <t>cumple isis</t>
  </si>
  <si>
    <t>enero</t>
  </si>
  <si>
    <t>ene</t>
  </si>
  <si>
    <t>cuota 6</t>
  </si>
  <si>
    <t>cuota 7</t>
  </si>
  <si>
    <t>falta</t>
  </si>
  <si>
    <t>cuota 8</t>
  </si>
  <si>
    <t>cuota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</si>
</sst>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theme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theme="1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2" applyNumberForma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</cellStyleXfs>
  <cellXfs count="42">
    <xf numFmtId="0" fontId="0" fillId="0" borderId="0" xfId="0"/>
    <xf numFmtId="0" fontId="2" fillId="2" borderId="0" xfId="1"/>
    <xf numFmtId="0" fontId="2" fillId="2" borderId="1" xfId="1" applyBorder="1"/>
    <xf numFmtId="0" fontId="4" fillId="4" borderId="0" xfId="3"/>
    <xf numFmtId="0" fontId="1" fillId="6" borderId="2" xfId="5"/>
    <xf numFmtId="0" fontId="5" fillId="5" borderId="0" xfId="4"/>
    <xf numFmtId="2" fontId="5" fillId="5" borderId="0" xfId="4" applyNumberFormat="1"/>
    <xf numFmtId="0" fontId="4" fillId="4" borderId="3" xfId="3" applyBorder="1"/>
    <xf numFmtId="0" fontId="0" fillId="0" borderId="4" xfId="0" applyBorder="1"/>
    <xf numFmtId="0" fontId="2" fillId="2" borderId="6" xfId="1" applyBorder="1"/>
    <xf numFmtId="0" fontId="4" fillId="4" borderId="6" xfId="3" applyBorder="1"/>
    <xf numFmtId="0" fontId="4" fillId="4" borderId="8" xfId="3" applyBorder="1"/>
    <xf numFmtId="0" fontId="4" fillId="4" borderId="9" xfId="3" applyBorder="1"/>
    <xf numFmtId="14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5" fillId="5" borderId="3" xfId="4" applyBorder="1"/>
    <xf numFmtId="0" fontId="4" fillId="4" borderId="0" xfId="3" applyBorder="1"/>
    <xf numFmtId="49" fontId="7" fillId="7" borderId="1" xfId="6" applyNumberFormat="1" applyBorder="1" applyAlignment="1">
      <alignment horizontal="center" vertical="center"/>
    </xf>
    <xf numFmtId="0" fontId="7" fillId="7" borderId="11" xfId="6" applyBorder="1"/>
    <xf numFmtId="0" fontId="7" fillId="7" borderId="7" xfId="6" applyBorder="1"/>
    <xf numFmtId="0" fontId="7" fillId="7" borderId="2" xfId="6" applyBorder="1"/>
    <xf numFmtId="0" fontId="7" fillId="7" borderId="12" xfId="6" applyBorder="1"/>
    <xf numFmtId="2" fontId="7" fillId="7" borderId="10" xfId="6" applyNumberFormat="1" applyBorder="1"/>
    <xf numFmtId="0" fontId="3" fillId="3" borderId="1" xfId="2"/>
    <xf numFmtId="16" fontId="0" fillId="0" borderId="0" xfId="0" applyNumberFormat="1"/>
    <xf numFmtId="17" fontId="0" fillId="0" borderId="0" xfId="0" applyNumberFormat="1"/>
    <xf numFmtId="49" fontId="2" fillId="2" borderId="1" xfId="1" applyNumberFormat="1" applyBorder="1" applyAlignment="1">
      <alignment horizontal="center" vertical="center"/>
    </xf>
    <xf numFmtId="0" fontId="2" fillId="2" borderId="11" xfId="1" applyBorder="1"/>
    <xf numFmtId="0" fontId="2" fillId="2" borderId="7" xfId="1" applyBorder="1"/>
    <xf numFmtId="0" fontId="2" fillId="2" borderId="2" xfId="1" applyBorder="1"/>
    <xf numFmtId="2" fontId="2" fillId="2" borderId="10" xfId="1" applyNumberFormat="1" applyBorder="1"/>
    <xf numFmtId="0" fontId="2" fillId="2" borderId="3" xfId="1" applyBorder="1"/>
    <xf numFmtId="0" fontId="2" fillId="2" borderId="12" xfId="1" applyBorder="1"/>
    <xf numFmtId="0" fontId="0" fillId="0" borderId="5" xfId="0" applyBorder="1" applyAlignment="1">
      <alignment horizontal="center"/>
    </xf>
    <xf numFmtId="0" fontId="4" fillId="4" borderId="2" xfId="3" applyBorder="1"/>
    <xf numFmtId="17" fontId="5" fillId="5" borderId="0" xfId="4" applyNumberFormat="1"/>
    <xf numFmtId="0" fontId="0" fillId="0" borderId="5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8" borderId="7" xfId="7" applyBorder="1"/>
    <xf numFmtId="2" fontId="7" fillId="8" borderId="10" xfId="7" applyNumberFormat="1" applyBorder="1"/>
  </cellXfs>
  <cellStyles count="8">
    <cellStyle name="20% - Énfasis6" xfId="7" builtinId="50"/>
    <cellStyle name="40% - Énfasis2" xfId="6" builtinId="35"/>
    <cellStyle name="Bueno" xfId="3" builtinId="26"/>
    <cellStyle name="Celda de comprobación" xfId="5" builtinId="23"/>
    <cellStyle name="Entrada" xfId="2" builtinId="20"/>
    <cellStyle name="Incorrecto" xfId="1" builtinId="27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5FFC-B141-46D1-9560-17F4C3CBEBDA}">
  <dimension ref="A6:AI140"/>
  <sheetViews>
    <sheetView topLeftCell="D28" zoomScale="85" zoomScaleNormal="85" workbookViewId="0">
      <selection activeCell="X50" sqref="X50"/>
    </sheetView>
  </sheetViews>
  <sheetFormatPr baseColWidth="10" defaultRowHeight="15" x14ac:dyDescent="0.25"/>
  <cols>
    <col min="1" max="1" width="49.140625" customWidth="1"/>
    <col min="2" max="2" width="11.28515625" customWidth="1"/>
    <col min="3" max="3" width="31.5703125" customWidth="1"/>
    <col min="4" max="4" width="15.42578125" bestFit="1" customWidth="1"/>
    <col min="5" max="5" width="35.5703125" bestFit="1" customWidth="1"/>
    <col min="6" max="6" width="14.28515625" bestFit="1" customWidth="1"/>
    <col min="7" max="9" width="11.28515625" bestFit="1" customWidth="1"/>
    <col min="10" max="10" width="15" bestFit="1" customWidth="1"/>
    <col min="11" max="11" width="11.28515625" bestFit="1" customWidth="1"/>
    <col min="12" max="12" width="11.85546875" bestFit="1" customWidth="1"/>
    <col min="13" max="13" width="13.5703125" bestFit="1" customWidth="1"/>
    <col min="14" max="14" width="22.140625" bestFit="1" customWidth="1"/>
    <col min="15" max="16" width="10.5703125" customWidth="1"/>
    <col min="17" max="17" width="10.5703125" bestFit="1" customWidth="1"/>
    <col min="18" max="18" width="12.5703125" customWidth="1"/>
    <col min="21" max="21" width="11.85546875" bestFit="1" customWidth="1"/>
    <col min="23" max="23" width="14.85546875" bestFit="1" customWidth="1"/>
  </cols>
  <sheetData>
    <row r="6" spans="1:21" ht="15.75" thickBot="1" x14ac:dyDescent="0.3">
      <c r="A6" t="s">
        <v>17</v>
      </c>
      <c r="B6">
        <v>41</v>
      </c>
      <c r="E6" s="37" t="s">
        <v>0</v>
      </c>
      <c r="F6" s="37"/>
      <c r="G6" s="37"/>
      <c r="H6" s="37"/>
    </row>
    <row r="7" spans="1:21" ht="16.5" thickTop="1" thickBot="1" x14ac:dyDescent="0.3">
      <c r="A7" s="3" t="s">
        <v>1</v>
      </c>
      <c r="B7" s="3">
        <v>504.56</v>
      </c>
      <c r="D7" s="8"/>
      <c r="E7" s="10" t="s">
        <v>4</v>
      </c>
      <c r="F7" s="27" t="s">
        <v>24</v>
      </c>
      <c r="G7" s="27" t="s">
        <v>25</v>
      </c>
      <c r="H7" s="27" t="s">
        <v>27</v>
      </c>
      <c r="I7" s="18" t="s">
        <v>28</v>
      </c>
      <c r="J7" s="18" t="s">
        <v>91</v>
      </c>
      <c r="K7" s="18" t="s">
        <v>29</v>
      </c>
      <c r="L7" s="18" t="s">
        <v>42</v>
      </c>
      <c r="M7" s="18" t="s">
        <v>43</v>
      </c>
      <c r="N7" s="18" t="s">
        <v>47</v>
      </c>
      <c r="O7" s="18" t="s">
        <v>48</v>
      </c>
      <c r="P7" s="18" t="s">
        <v>49</v>
      </c>
      <c r="Q7" s="18" t="s">
        <v>50</v>
      </c>
      <c r="R7" s="18" t="s">
        <v>51</v>
      </c>
      <c r="S7" s="18" t="s">
        <v>52</v>
      </c>
      <c r="T7" s="18" t="s">
        <v>68</v>
      </c>
      <c r="U7" s="18" t="s">
        <v>69</v>
      </c>
    </row>
    <row r="8" spans="1:21" ht="15.75" thickTop="1" x14ac:dyDescent="0.25">
      <c r="E8" s="7" t="s">
        <v>20</v>
      </c>
      <c r="F8" s="28"/>
      <c r="G8" s="28"/>
      <c r="H8" s="2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x14ac:dyDescent="0.25">
      <c r="E9" s="32" t="s">
        <v>6</v>
      </c>
      <c r="F9" s="29"/>
      <c r="G9" s="29">
        <v>30</v>
      </c>
      <c r="H9" s="29"/>
      <c r="I9" s="20">
        <v>30</v>
      </c>
      <c r="J9" s="20"/>
      <c r="K9" s="20">
        <v>30</v>
      </c>
      <c r="L9" s="20"/>
      <c r="M9" s="20">
        <v>30</v>
      </c>
      <c r="N9" s="20"/>
      <c r="O9" s="20">
        <v>30</v>
      </c>
      <c r="P9" s="20"/>
      <c r="Q9" s="20">
        <v>30</v>
      </c>
      <c r="R9" s="20"/>
      <c r="S9" s="20">
        <v>30</v>
      </c>
      <c r="T9" s="20"/>
      <c r="U9" s="20">
        <v>30</v>
      </c>
    </row>
    <row r="10" spans="1:21" ht="15.75" thickBot="1" x14ac:dyDescent="0.3">
      <c r="E10" s="7" t="s">
        <v>7</v>
      </c>
      <c r="F10" s="29">
        <v>15</v>
      </c>
      <c r="G10" s="29">
        <v>15</v>
      </c>
      <c r="H10" s="29">
        <v>15</v>
      </c>
      <c r="I10" s="20"/>
      <c r="J10" s="20">
        <v>20</v>
      </c>
      <c r="K10" s="20"/>
      <c r="L10" s="20">
        <v>20</v>
      </c>
      <c r="M10" s="20"/>
      <c r="N10" s="20">
        <v>20</v>
      </c>
      <c r="O10" s="20"/>
      <c r="P10" s="20">
        <v>20</v>
      </c>
      <c r="Q10" s="20"/>
      <c r="R10" s="20">
        <v>20</v>
      </c>
      <c r="S10" s="20"/>
      <c r="T10" s="20">
        <v>20</v>
      </c>
      <c r="U10" s="20"/>
    </row>
    <row r="11" spans="1:21" ht="16.5" thickTop="1" thickBot="1" x14ac:dyDescent="0.3">
      <c r="E11" s="4" t="s">
        <v>22</v>
      </c>
      <c r="F11" s="30"/>
      <c r="G11" s="30"/>
      <c r="H11" s="30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 ht="16.5" thickTop="1" thickBot="1" x14ac:dyDescent="0.3">
      <c r="A12" s="1" t="s">
        <v>3</v>
      </c>
      <c r="B12" s="1">
        <f>B7*9.45%</f>
        <v>47.680919999999993</v>
      </c>
      <c r="E12" s="4" t="s">
        <v>95</v>
      </c>
      <c r="F12" s="30"/>
      <c r="G12" s="30"/>
      <c r="H12" s="30">
        <v>53.7</v>
      </c>
      <c r="I12" s="21">
        <v>55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spans="1:21" ht="16.5" thickTop="1" thickBot="1" x14ac:dyDescent="0.3">
      <c r="A13" s="1" t="s">
        <v>14</v>
      </c>
      <c r="B13" s="1">
        <v>23</v>
      </c>
      <c r="E13" s="16" t="s">
        <v>77</v>
      </c>
      <c r="F13" s="29"/>
      <c r="G13" s="29">
        <v>44</v>
      </c>
      <c r="H13" s="2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1" ht="16.5" thickTop="1" thickBot="1" x14ac:dyDescent="0.3">
      <c r="A14" s="1" t="s">
        <v>11</v>
      </c>
      <c r="B14" s="1">
        <v>10</v>
      </c>
      <c r="E14" s="4" t="s">
        <v>15</v>
      </c>
      <c r="F14" s="30"/>
      <c r="G14" s="30"/>
      <c r="H14" s="3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spans="1:21" ht="16.5" thickTop="1" thickBot="1" x14ac:dyDescent="0.3">
      <c r="E15" s="4" t="s">
        <v>18</v>
      </c>
      <c r="F15" s="30"/>
      <c r="G15" s="30"/>
      <c r="H15" s="3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 ht="15.75" thickTop="1" x14ac:dyDescent="0.25">
      <c r="A16" s="3" t="s">
        <v>2</v>
      </c>
      <c r="B16" s="3">
        <v>201.5</v>
      </c>
      <c r="E16" s="7" t="s">
        <v>16</v>
      </c>
      <c r="F16" s="29"/>
      <c r="G16" s="29"/>
      <c r="H16" s="2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35" x14ac:dyDescent="0.25">
      <c r="A17" s="5" t="s">
        <v>10</v>
      </c>
      <c r="B17" s="6">
        <f>B7-B12-B16-B13-B14</f>
        <v>222.37907999999999</v>
      </c>
      <c r="E17" s="7" t="s">
        <v>8</v>
      </c>
      <c r="F17" s="29">
        <v>30</v>
      </c>
      <c r="G17" s="29">
        <v>30</v>
      </c>
      <c r="H17" s="29">
        <v>30</v>
      </c>
      <c r="I17" s="20">
        <v>30</v>
      </c>
      <c r="J17" s="20">
        <v>30</v>
      </c>
      <c r="K17" s="20">
        <v>30</v>
      </c>
      <c r="L17" s="20">
        <v>30</v>
      </c>
      <c r="M17" s="20">
        <v>30</v>
      </c>
      <c r="N17" s="20">
        <v>30</v>
      </c>
      <c r="O17" s="20">
        <v>30</v>
      </c>
      <c r="P17" s="20">
        <v>30</v>
      </c>
      <c r="Q17" s="20">
        <v>30</v>
      </c>
      <c r="R17" s="20">
        <v>30</v>
      </c>
      <c r="S17" s="20">
        <v>30</v>
      </c>
      <c r="T17" s="20">
        <v>30</v>
      </c>
      <c r="U17" s="20">
        <v>30</v>
      </c>
    </row>
    <row r="18" spans="1:35" x14ac:dyDescent="0.25">
      <c r="E18" s="32" t="s">
        <v>9</v>
      </c>
      <c r="F18" s="29">
        <v>30</v>
      </c>
      <c r="G18" s="29">
        <v>30</v>
      </c>
      <c r="H18" s="29">
        <v>30</v>
      </c>
      <c r="I18" s="20">
        <v>30</v>
      </c>
      <c r="J18" s="20">
        <v>30</v>
      </c>
      <c r="K18" s="20">
        <v>30</v>
      </c>
      <c r="L18" s="20">
        <v>30</v>
      </c>
      <c r="M18" s="20">
        <v>30</v>
      </c>
      <c r="N18" s="20">
        <v>30</v>
      </c>
      <c r="O18" s="20">
        <v>30</v>
      </c>
      <c r="P18" s="20">
        <v>30</v>
      </c>
      <c r="Q18" s="20">
        <v>30</v>
      </c>
      <c r="R18" s="20">
        <v>30</v>
      </c>
      <c r="S18" s="20">
        <v>30</v>
      </c>
      <c r="T18" s="20">
        <v>30</v>
      </c>
      <c r="U18" s="20">
        <v>30</v>
      </c>
    </row>
    <row r="19" spans="1:35" ht="15.75" thickBot="1" x14ac:dyDescent="0.3">
      <c r="E19" s="7" t="s">
        <v>23</v>
      </c>
      <c r="F19" s="29"/>
      <c r="G19" s="29"/>
      <c r="H19" s="2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1:35" ht="16.5" thickTop="1" thickBot="1" x14ac:dyDescent="0.3">
      <c r="E20" s="4" t="s">
        <v>40</v>
      </c>
      <c r="F20" s="30"/>
      <c r="G20" s="30"/>
      <c r="H20" s="30"/>
      <c r="I20" s="21">
        <v>30</v>
      </c>
      <c r="J20" s="21"/>
      <c r="K20" s="21">
        <v>30</v>
      </c>
      <c r="L20" s="21"/>
      <c r="M20" s="21">
        <v>30</v>
      </c>
      <c r="N20" s="21"/>
      <c r="O20" s="21">
        <v>30</v>
      </c>
      <c r="P20" s="21"/>
      <c r="Q20" s="21">
        <v>30</v>
      </c>
      <c r="R20" s="21"/>
      <c r="S20" s="21"/>
      <c r="T20" s="21"/>
      <c r="U20" s="21"/>
      <c r="AB20" t="s">
        <v>57</v>
      </c>
      <c r="AH20" t="s">
        <v>64</v>
      </c>
    </row>
    <row r="21" spans="1:35" ht="16.5" thickTop="1" thickBot="1" x14ac:dyDescent="0.3">
      <c r="C21" s="15"/>
      <c r="E21" s="4" t="s">
        <v>32</v>
      </c>
      <c r="F21" s="30"/>
      <c r="G21" s="30">
        <v>30</v>
      </c>
      <c r="H21" s="3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AB21">
        <f>SUM(I20:O20)</f>
        <v>120</v>
      </c>
      <c r="AD21" t="s">
        <v>59</v>
      </c>
      <c r="AH21" t="s">
        <v>65</v>
      </c>
      <c r="AI21">
        <v>300</v>
      </c>
    </row>
    <row r="22" spans="1:35" ht="15.75" thickTop="1" x14ac:dyDescent="0.25">
      <c r="E22" s="7" t="s">
        <v>12</v>
      </c>
      <c r="F22" s="29"/>
      <c r="G22" s="29">
        <v>10</v>
      </c>
      <c r="H22" s="29"/>
      <c r="I22" s="20">
        <v>10</v>
      </c>
      <c r="J22" s="20"/>
      <c r="K22" s="20">
        <v>10</v>
      </c>
      <c r="L22" s="20"/>
      <c r="M22" s="20">
        <v>10</v>
      </c>
      <c r="N22" s="20"/>
      <c r="O22" s="20">
        <v>10</v>
      </c>
      <c r="P22" s="20"/>
      <c r="Q22" s="20">
        <v>10</v>
      </c>
      <c r="R22" s="20"/>
      <c r="S22" s="20">
        <v>10</v>
      </c>
      <c r="T22" s="20"/>
      <c r="U22" s="20">
        <v>10</v>
      </c>
      <c r="AB22" t="s">
        <v>58</v>
      </c>
      <c r="AD22" t="s">
        <v>60</v>
      </c>
      <c r="AE22">
        <v>100</v>
      </c>
      <c r="AH22" t="s">
        <v>66</v>
      </c>
    </row>
    <row r="23" spans="1:35" x14ac:dyDescent="0.25">
      <c r="E23" s="7" t="s">
        <v>19</v>
      </c>
      <c r="F23" s="29"/>
      <c r="G23" s="29"/>
      <c r="H23" s="29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AB23">
        <v>300</v>
      </c>
      <c r="AD23" t="s">
        <v>61</v>
      </c>
      <c r="AE23">
        <v>100</v>
      </c>
    </row>
    <row r="24" spans="1:35" ht="15.75" thickBot="1" x14ac:dyDescent="0.3">
      <c r="E24" s="7" t="s">
        <v>13</v>
      </c>
      <c r="F24" s="29"/>
      <c r="G24" s="29">
        <v>30</v>
      </c>
      <c r="H24" s="29"/>
      <c r="I24" s="20">
        <v>30</v>
      </c>
      <c r="J24" s="20"/>
      <c r="K24" s="20">
        <v>30</v>
      </c>
      <c r="L24" s="20"/>
      <c r="M24" s="20">
        <v>30</v>
      </c>
      <c r="N24" s="20"/>
      <c r="O24" s="20">
        <v>30</v>
      </c>
      <c r="P24" s="20"/>
      <c r="Q24" s="20">
        <v>30</v>
      </c>
      <c r="R24" s="20"/>
      <c r="S24" s="20">
        <v>30</v>
      </c>
      <c r="T24" s="20"/>
      <c r="U24" s="20">
        <v>30</v>
      </c>
      <c r="AD24" t="s">
        <v>62</v>
      </c>
      <c r="AE24">
        <v>100</v>
      </c>
    </row>
    <row r="25" spans="1:35" ht="16.5" thickTop="1" thickBot="1" x14ac:dyDescent="0.3">
      <c r="A25" t="s">
        <v>35</v>
      </c>
      <c r="B25">
        <v>275</v>
      </c>
      <c r="E25" s="4" t="s">
        <v>77</v>
      </c>
      <c r="F25" s="30">
        <v>79</v>
      </c>
      <c r="G25" s="30"/>
      <c r="H25" s="30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AD25" t="s">
        <v>63</v>
      </c>
    </row>
    <row r="26" spans="1:35" ht="16.5" thickTop="1" thickBot="1" x14ac:dyDescent="0.3">
      <c r="E26" s="7" t="s">
        <v>21</v>
      </c>
      <c r="F26" s="29"/>
      <c r="G26" s="29"/>
      <c r="H26" s="29">
        <v>30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35" ht="16.5" thickTop="1" thickBot="1" x14ac:dyDescent="0.3">
      <c r="E27" s="4" t="s">
        <v>33</v>
      </c>
      <c r="F27" s="30"/>
      <c r="G27" s="30">
        <v>20</v>
      </c>
      <c r="H27" s="30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1:35" ht="15.75" thickTop="1" x14ac:dyDescent="0.25">
      <c r="D28" s="8"/>
      <c r="E28" s="11" t="s">
        <v>77</v>
      </c>
      <c r="F28" s="29"/>
      <c r="G28" s="29">
        <v>18</v>
      </c>
      <c r="H28" s="2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35" ht="15.75" thickBot="1" x14ac:dyDescent="0.3">
      <c r="A29" t="s">
        <v>36</v>
      </c>
      <c r="E29" s="12" t="s">
        <v>26</v>
      </c>
      <c r="F29" s="29"/>
      <c r="G29" s="29">
        <v>33</v>
      </c>
      <c r="H29" s="29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35" ht="16.5" thickTop="1" thickBot="1" x14ac:dyDescent="0.3">
      <c r="A30" t="s">
        <v>30</v>
      </c>
      <c r="B30">
        <v>100</v>
      </c>
      <c r="E30" s="12" t="s">
        <v>34</v>
      </c>
      <c r="F30" s="29"/>
      <c r="G30" s="33"/>
      <c r="H30" s="29"/>
      <c r="I30" s="22"/>
      <c r="J30" s="20"/>
      <c r="K30" s="22"/>
      <c r="L30" s="20"/>
      <c r="M30" s="22"/>
      <c r="N30" s="20"/>
      <c r="O30" s="22"/>
      <c r="P30" s="20"/>
      <c r="Q30" s="22"/>
      <c r="R30" s="20"/>
      <c r="S30" s="22"/>
      <c r="T30" s="20"/>
      <c r="U30" s="22"/>
    </row>
    <row r="31" spans="1:35" ht="16.5" thickTop="1" thickBot="1" x14ac:dyDescent="0.3">
      <c r="A31" t="s">
        <v>31</v>
      </c>
      <c r="B31">
        <v>130</v>
      </c>
      <c r="E31" s="9" t="s">
        <v>5</v>
      </c>
      <c r="F31" s="31">
        <f>B16-SUM(F8:F30)</f>
        <v>47.5</v>
      </c>
      <c r="G31" s="31">
        <f>B17-SUM(G8:G30)+G33</f>
        <v>-26.620920000000012</v>
      </c>
      <c r="H31" s="31">
        <f>B16-SUM(H8:H30)</f>
        <v>42.800000000000011</v>
      </c>
      <c r="I31" s="23">
        <f>B17-SUM(I8:I30)</f>
        <v>7.3790799999999876</v>
      </c>
      <c r="J31" s="23">
        <f>B16-SUM(J8:J30)</f>
        <v>121.5</v>
      </c>
      <c r="K31" s="23">
        <f>B17-SUM(K8:K30)</f>
        <v>62.379079999999988</v>
      </c>
      <c r="L31" s="23">
        <f>B16-SUM(L8:L30)</f>
        <v>121.5</v>
      </c>
      <c r="M31" s="23">
        <f>B17-SUM(M8:M30)</f>
        <v>62.379079999999988</v>
      </c>
      <c r="N31" s="23">
        <f>B16-SUM(N8:N30)</f>
        <v>121.5</v>
      </c>
      <c r="O31" s="23">
        <f>B17-SUM(O8:O30)</f>
        <v>62.379079999999988</v>
      </c>
      <c r="P31" s="23">
        <f>B16-SUM(P8:P30)</f>
        <v>121.5</v>
      </c>
      <c r="Q31" s="23">
        <f>B17-SUM(Q8:Q30)</f>
        <v>62.379079999999988</v>
      </c>
      <c r="R31" s="23">
        <f>B16-SUM(R8:R30)</f>
        <v>121.5</v>
      </c>
      <c r="S31" s="23">
        <f>B17-SUM(S8:S30)</f>
        <v>92.379079999999988</v>
      </c>
      <c r="T31" s="23">
        <f>B16-SUM(T8:T30)</f>
        <v>121.5</v>
      </c>
      <c r="U31" s="23">
        <f>B17-SUM(U8:U30)</f>
        <v>92.379079999999988</v>
      </c>
    </row>
    <row r="32" spans="1:35" ht="15.75" thickTop="1" x14ac:dyDescent="0.25">
      <c r="V32" s="15"/>
      <c r="W32" s="15"/>
      <c r="X32" s="15"/>
      <c r="AE32" s="15"/>
    </row>
    <row r="33" spans="2:30" x14ac:dyDescent="0.25">
      <c r="B33">
        <f>SUM(B30:B32)</f>
        <v>230</v>
      </c>
      <c r="E33" s="17" t="s">
        <v>17</v>
      </c>
      <c r="G33" s="1">
        <v>41</v>
      </c>
      <c r="I33" s="1">
        <v>41</v>
      </c>
      <c r="K33" s="1">
        <v>41</v>
      </c>
      <c r="M33" s="1">
        <v>41</v>
      </c>
      <c r="O33" s="1">
        <v>41</v>
      </c>
      <c r="Q33" s="1">
        <v>41</v>
      </c>
      <c r="S33" s="1">
        <v>41</v>
      </c>
      <c r="U33" s="1">
        <v>41</v>
      </c>
      <c r="V33" s="15"/>
      <c r="X33" s="15"/>
    </row>
    <row r="34" spans="2:30" x14ac:dyDescent="0.25">
      <c r="I34" s="14"/>
      <c r="J34" s="14"/>
      <c r="K34" s="14"/>
      <c r="L34" s="14"/>
    </row>
    <row r="36" spans="2:30" x14ac:dyDescent="0.25">
      <c r="G36" s="15">
        <f>H31+I31+I33+300+150</f>
        <v>541.17908</v>
      </c>
      <c r="K36" s="15">
        <f>121+300+41+K31</f>
        <v>524.37907999999993</v>
      </c>
      <c r="S36" s="15"/>
    </row>
    <row r="37" spans="2:30" x14ac:dyDescent="0.25">
      <c r="K37">
        <f>K36*5</f>
        <v>2621.8953999999994</v>
      </c>
      <c r="S37" s="15"/>
    </row>
    <row r="38" spans="2:30" x14ac:dyDescent="0.25">
      <c r="E38">
        <v>304</v>
      </c>
    </row>
    <row r="40" spans="2:30" x14ac:dyDescent="0.25">
      <c r="E40" t="s">
        <v>92</v>
      </c>
      <c r="F40">
        <v>40</v>
      </c>
      <c r="N40" t="s">
        <v>44</v>
      </c>
      <c r="Q40" t="s">
        <v>45</v>
      </c>
      <c r="T40" t="s">
        <v>53</v>
      </c>
      <c r="W40" t="s">
        <v>55</v>
      </c>
      <c r="Z40" t="s">
        <v>67</v>
      </c>
      <c r="AC40" t="s">
        <v>70</v>
      </c>
    </row>
    <row r="41" spans="2:30" x14ac:dyDescent="0.25">
      <c r="N41" s="5" t="s">
        <v>23</v>
      </c>
      <c r="O41" s="5">
        <v>100</v>
      </c>
      <c r="Q41" s="5" t="s">
        <v>23</v>
      </c>
      <c r="R41" s="5">
        <v>100</v>
      </c>
      <c r="T41" s="5" t="s">
        <v>23</v>
      </c>
      <c r="U41" s="5">
        <v>100</v>
      </c>
      <c r="W41" s="5" t="s">
        <v>23</v>
      </c>
      <c r="X41" s="5">
        <v>100</v>
      </c>
      <c r="Z41" t="s">
        <v>38</v>
      </c>
      <c r="AA41" s="15">
        <f>S31</f>
        <v>92.379079999999988</v>
      </c>
      <c r="AC41" s="5" t="s">
        <v>23</v>
      </c>
      <c r="AD41" s="5">
        <v>100</v>
      </c>
    </row>
    <row r="42" spans="2:30" x14ac:dyDescent="0.25">
      <c r="L42" s="15"/>
      <c r="N42" s="5" t="s">
        <v>37</v>
      </c>
      <c r="O42" s="6">
        <f>J31-O41</f>
        <v>21.5</v>
      </c>
      <c r="Q42" s="5" t="s">
        <v>37</v>
      </c>
      <c r="R42" s="6">
        <f>L31-R41</f>
        <v>21.5</v>
      </c>
      <c r="T42" s="5" t="s">
        <v>37</v>
      </c>
      <c r="U42" s="6">
        <f>N31-U41</f>
        <v>21.5</v>
      </c>
      <c r="W42" s="5" t="s">
        <v>37</v>
      </c>
      <c r="X42" s="6">
        <f>P31-X41</f>
        <v>21.5</v>
      </c>
      <c r="AC42" s="5" t="s">
        <v>37</v>
      </c>
      <c r="AD42" s="6">
        <f>T31-AD41</f>
        <v>21.5</v>
      </c>
    </row>
    <row r="43" spans="2:30" x14ac:dyDescent="0.25">
      <c r="I43">
        <v>300</v>
      </c>
      <c r="N43" t="s">
        <v>38</v>
      </c>
      <c r="Q43" t="s">
        <v>38</v>
      </c>
      <c r="T43" t="s">
        <v>38</v>
      </c>
      <c r="W43" t="s">
        <v>38</v>
      </c>
      <c r="AA43" s="15">
        <f>AA41+AA42</f>
        <v>92.379079999999988</v>
      </c>
      <c r="AC43" t="s">
        <v>38</v>
      </c>
    </row>
    <row r="44" spans="2:30" x14ac:dyDescent="0.25">
      <c r="H44" s="15"/>
      <c r="I44">
        <f>I43-T138</f>
        <v>218.31</v>
      </c>
      <c r="N44" t="s">
        <v>23</v>
      </c>
      <c r="O44">
        <v>275</v>
      </c>
      <c r="Q44" t="s">
        <v>23</v>
      </c>
      <c r="R44">
        <v>275</v>
      </c>
      <c r="T44" t="s">
        <v>23</v>
      </c>
      <c r="U44">
        <v>275</v>
      </c>
      <c r="W44" t="s">
        <v>23</v>
      </c>
      <c r="X44">
        <v>275</v>
      </c>
      <c r="Z44" s="15" t="s">
        <v>23</v>
      </c>
      <c r="AA44">
        <v>275</v>
      </c>
      <c r="AC44" t="s">
        <v>23</v>
      </c>
      <c r="AD44">
        <v>275</v>
      </c>
    </row>
    <row r="45" spans="2:30" x14ac:dyDescent="0.25">
      <c r="I45" s="15">
        <f>I44+I33+I31</f>
        <v>266.68907999999999</v>
      </c>
    </row>
    <row r="46" spans="2:30" x14ac:dyDescent="0.25">
      <c r="D46" s="15"/>
      <c r="H46" s="15"/>
      <c r="L46" s="15"/>
      <c r="N46" t="s">
        <v>39</v>
      </c>
      <c r="O46" s="15">
        <f>K31</f>
        <v>62.379079999999988</v>
      </c>
      <c r="Q46" t="s">
        <v>39</v>
      </c>
      <c r="R46" s="15">
        <f>M31</f>
        <v>62.379079999999988</v>
      </c>
      <c r="T46" t="s">
        <v>39</v>
      </c>
      <c r="U46" s="15">
        <f>O31</f>
        <v>62.379079999999988</v>
      </c>
      <c r="W46" t="s">
        <v>39</v>
      </c>
      <c r="X46" s="15">
        <f>Q31</f>
        <v>62.379079999999988</v>
      </c>
      <c r="Z46" t="s">
        <v>72</v>
      </c>
      <c r="AA46" s="15">
        <f>AA44+AA43</f>
        <v>367.37907999999999</v>
      </c>
      <c r="AC46" t="s">
        <v>39</v>
      </c>
      <c r="AD46" s="15">
        <f>U31</f>
        <v>92.379079999999988</v>
      </c>
    </row>
    <row r="48" spans="2:30" x14ac:dyDescent="0.25">
      <c r="I48" s="15"/>
      <c r="L48" s="15"/>
      <c r="O48" s="15">
        <f>O44+O45+O46</f>
        <v>337.37907999999999</v>
      </c>
      <c r="R48" s="15">
        <f>R44+R45+R46</f>
        <v>337.37907999999999</v>
      </c>
      <c r="U48" s="15">
        <f>U44+U45+U46</f>
        <v>337.37907999999999</v>
      </c>
      <c r="X48" s="15">
        <f>X44+X45+X46</f>
        <v>337.37907999999999</v>
      </c>
      <c r="AD48" s="15">
        <f>AD44+AD45+AD46</f>
        <v>367.37907999999999</v>
      </c>
    </row>
    <row r="50" spans="3:30" x14ac:dyDescent="0.25">
      <c r="L50" s="15"/>
      <c r="N50" t="s">
        <v>41</v>
      </c>
      <c r="O50" s="15">
        <f>O48+O41</f>
        <v>437.37907999999999</v>
      </c>
      <c r="Q50" t="s">
        <v>46</v>
      </c>
      <c r="R50" s="15">
        <f>R48+R41</f>
        <v>437.37907999999999</v>
      </c>
      <c r="T50" t="s">
        <v>73</v>
      </c>
      <c r="U50" s="15">
        <f>U48+U41</f>
        <v>437.37907999999999</v>
      </c>
      <c r="W50" t="s">
        <v>74</v>
      </c>
      <c r="X50" s="15">
        <f>X48+X41</f>
        <v>437.37907999999999</v>
      </c>
      <c r="AC50" t="s">
        <v>71</v>
      </c>
      <c r="AD50" s="15">
        <f>AD48+AD41</f>
        <v>467.37907999999999</v>
      </c>
    </row>
    <row r="51" spans="3:30" x14ac:dyDescent="0.25">
      <c r="M51" t="s">
        <v>85</v>
      </c>
      <c r="N51">
        <f>186+186</f>
        <v>372</v>
      </c>
      <c r="W51" t="s">
        <v>84</v>
      </c>
    </row>
    <row r="52" spans="3:30" x14ac:dyDescent="0.25">
      <c r="O52" s="15">
        <f>O50-N51</f>
        <v>65.379079999999988</v>
      </c>
      <c r="W52" t="s">
        <v>85</v>
      </c>
      <c r="X52">
        <f>X50/2</f>
        <v>218.68953999999999</v>
      </c>
    </row>
    <row r="53" spans="3:30" x14ac:dyDescent="0.25">
      <c r="O53" s="15"/>
      <c r="Q53" t="s">
        <v>56</v>
      </c>
      <c r="R53" s="15">
        <v>3318</v>
      </c>
      <c r="W53" t="s">
        <v>86</v>
      </c>
      <c r="X53">
        <f>X50/2</f>
        <v>218.68953999999999</v>
      </c>
    </row>
    <row r="54" spans="3:30" x14ac:dyDescent="0.25">
      <c r="T54" s="15"/>
    </row>
    <row r="55" spans="3:30" x14ac:dyDescent="0.25">
      <c r="K55" t="s">
        <v>54</v>
      </c>
      <c r="L55" s="5" t="s">
        <v>79</v>
      </c>
      <c r="M55" s="5" t="s">
        <v>80</v>
      </c>
      <c r="N55" s="5" t="s">
        <v>73</v>
      </c>
      <c r="O55" s="5" t="s">
        <v>74</v>
      </c>
      <c r="P55" s="5" t="s">
        <v>81</v>
      </c>
      <c r="Q55" s="5" t="s">
        <v>82</v>
      </c>
      <c r="R55" s="5"/>
      <c r="S55" s="5"/>
      <c r="T55" s="5"/>
      <c r="U55" s="5"/>
      <c r="V55" s="5"/>
    </row>
    <row r="56" spans="3:30" x14ac:dyDescent="0.25">
      <c r="L56" s="5">
        <v>1</v>
      </c>
      <c r="M56" s="5">
        <v>2</v>
      </c>
      <c r="N56" s="5" t="s">
        <v>94</v>
      </c>
      <c r="O56" s="5">
        <v>4</v>
      </c>
      <c r="P56" s="5">
        <v>5</v>
      </c>
      <c r="Q56" s="5">
        <v>6</v>
      </c>
      <c r="R56" s="5">
        <v>7</v>
      </c>
      <c r="S56" s="5">
        <v>8</v>
      </c>
      <c r="T56" s="5">
        <v>9</v>
      </c>
      <c r="U56" s="5">
        <v>10</v>
      </c>
      <c r="V56" s="5">
        <v>11</v>
      </c>
    </row>
    <row r="57" spans="3:30" x14ac:dyDescent="0.25">
      <c r="C57" s="15"/>
      <c r="L57" s="5">
        <v>219.54</v>
      </c>
      <c r="M57" s="5">
        <v>219.54</v>
      </c>
      <c r="N57" s="5">
        <v>219.54</v>
      </c>
      <c r="O57" s="5">
        <v>219.54</v>
      </c>
      <c r="P57" s="5">
        <v>219.54</v>
      </c>
      <c r="Q57" s="5">
        <v>219.54</v>
      </c>
      <c r="R57" s="5">
        <v>219.54</v>
      </c>
      <c r="S57" s="5">
        <v>219.54</v>
      </c>
      <c r="T57" s="5">
        <v>219.54</v>
      </c>
      <c r="U57" s="5">
        <v>219.54</v>
      </c>
      <c r="V57" s="5">
        <v>219.54</v>
      </c>
    </row>
    <row r="60" spans="3:30" x14ac:dyDescent="0.25">
      <c r="K60" t="s">
        <v>75</v>
      </c>
      <c r="L60">
        <v>100</v>
      </c>
    </row>
    <row r="61" spans="3:30" x14ac:dyDescent="0.25">
      <c r="K61" t="s">
        <v>76</v>
      </c>
      <c r="L61">
        <v>603.86</v>
      </c>
    </row>
    <row r="65" spans="6:23" x14ac:dyDescent="0.25">
      <c r="O65">
        <f>SUM(L57:P57)</f>
        <v>1097.7</v>
      </c>
    </row>
    <row r="66" spans="6:23" x14ac:dyDescent="0.25">
      <c r="M66">
        <f>SUM(L57:O57)</f>
        <v>878.16</v>
      </c>
    </row>
    <row r="67" spans="6:23" x14ac:dyDescent="0.25">
      <c r="M67">
        <f>M66+L61</f>
        <v>1482.02</v>
      </c>
    </row>
    <row r="68" spans="6:23" x14ac:dyDescent="0.25">
      <c r="F68" s="13"/>
    </row>
    <row r="69" spans="6:23" x14ac:dyDescent="0.25">
      <c r="J69" s="38"/>
      <c r="K69" s="39"/>
    </row>
    <row r="72" spans="6:23" x14ac:dyDescent="0.25">
      <c r="L72" t="s">
        <v>78</v>
      </c>
    </row>
    <row r="73" spans="6:23" x14ac:dyDescent="0.25">
      <c r="L73" s="2">
        <v>1</v>
      </c>
      <c r="M73" s="2">
        <v>2</v>
      </c>
      <c r="N73" s="24">
        <v>3</v>
      </c>
      <c r="O73" s="24">
        <v>4</v>
      </c>
      <c r="P73" s="24">
        <v>5</v>
      </c>
      <c r="Q73" s="24">
        <v>6</v>
      </c>
      <c r="R73" s="24">
        <v>7</v>
      </c>
      <c r="S73" s="24">
        <v>8</v>
      </c>
      <c r="T73" s="24">
        <v>9</v>
      </c>
      <c r="U73" s="24">
        <v>10</v>
      </c>
      <c r="V73" s="24">
        <v>11</v>
      </c>
      <c r="W73" s="24">
        <v>12</v>
      </c>
    </row>
    <row r="74" spans="6:23" x14ac:dyDescent="0.25">
      <c r="L74" s="2">
        <v>186</v>
      </c>
      <c r="M74" s="2">
        <v>186</v>
      </c>
      <c r="N74" s="24">
        <v>186</v>
      </c>
      <c r="O74" s="24">
        <v>186</v>
      </c>
      <c r="P74" s="24">
        <v>186</v>
      </c>
      <c r="Q74" s="24">
        <v>186</v>
      </c>
      <c r="R74" s="24">
        <v>186</v>
      </c>
      <c r="S74" s="24">
        <v>186</v>
      </c>
      <c r="T74" s="24">
        <v>186</v>
      </c>
      <c r="U74" s="24">
        <v>186</v>
      </c>
      <c r="V74" s="24">
        <v>186</v>
      </c>
      <c r="W74" s="24">
        <v>186</v>
      </c>
    </row>
    <row r="75" spans="6:23" x14ac:dyDescent="0.25">
      <c r="P75" t="s">
        <v>93</v>
      </c>
      <c r="R75" t="s">
        <v>93</v>
      </c>
      <c r="T75" t="s">
        <v>93</v>
      </c>
      <c r="U75" t="s">
        <v>93</v>
      </c>
    </row>
    <row r="77" spans="6:23" x14ac:dyDescent="0.25">
      <c r="N77" t="s">
        <v>83</v>
      </c>
      <c r="O77" s="15">
        <f>L50+O50+R50+U50+X50</f>
        <v>1749.51632</v>
      </c>
    </row>
    <row r="78" spans="6:23" x14ac:dyDescent="0.25">
      <c r="N78" t="s">
        <v>78</v>
      </c>
      <c r="O78">
        <f>SUM(L74:W74)</f>
        <v>2232</v>
      </c>
    </row>
    <row r="88" spans="6:13" x14ac:dyDescent="0.25">
      <c r="I88" t="s">
        <v>87</v>
      </c>
      <c r="L88" t="s">
        <v>89</v>
      </c>
    </row>
    <row r="89" spans="6:13" x14ac:dyDescent="0.25">
      <c r="I89">
        <v>56.37</v>
      </c>
      <c r="J89" t="s">
        <v>88</v>
      </c>
      <c r="L89">
        <v>30</v>
      </c>
      <c r="M89" s="25">
        <v>46265</v>
      </c>
    </row>
    <row r="90" spans="6:13" x14ac:dyDescent="0.25">
      <c r="F90" s="13"/>
      <c r="I90">
        <v>21</v>
      </c>
      <c r="J90" s="25">
        <v>46249</v>
      </c>
      <c r="L90">
        <v>30</v>
      </c>
      <c r="M90" s="25">
        <v>46295</v>
      </c>
    </row>
    <row r="91" spans="6:13" x14ac:dyDescent="0.25">
      <c r="I91">
        <v>6</v>
      </c>
      <c r="J91" s="25">
        <v>46265</v>
      </c>
      <c r="L91">
        <v>30</v>
      </c>
      <c r="M91" s="25">
        <v>46325</v>
      </c>
    </row>
    <row r="92" spans="6:13" x14ac:dyDescent="0.25">
      <c r="I92">
        <v>21</v>
      </c>
      <c r="J92" s="25">
        <v>46280</v>
      </c>
      <c r="L92">
        <v>30</v>
      </c>
      <c r="M92" s="25">
        <v>46356</v>
      </c>
    </row>
    <row r="93" spans="6:13" x14ac:dyDescent="0.25">
      <c r="I93">
        <v>41</v>
      </c>
      <c r="J93" s="25">
        <v>46295</v>
      </c>
    </row>
    <row r="94" spans="6:13" x14ac:dyDescent="0.25">
      <c r="I94">
        <v>21</v>
      </c>
      <c r="J94" s="25">
        <v>46310</v>
      </c>
    </row>
    <row r="95" spans="6:13" x14ac:dyDescent="0.25">
      <c r="I95">
        <v>41</v>
      </c>
      <c r="J95" s="25">
        <v>46325</v>
      </c>
    </row>
    <row r="96" spans="6:13" x14ac:dyDescent="0.25">
      <c r="I96">
        <v>21</v>
      </c>
      <c r="J96" s="25">
        <v>46341</v>
      </c>
    </row>
    <row r="97" spans="9:14" x14ac:dyDescent="0.25">
      <c r="I97">
        <v>41</v>
      </c>
      <c r="J97" s="25">
        <v>46356</v>
      </c>
      <c r="L97">
        <f>SUM(L89:L92)</f>
        <v>120</v>
      </c>
    </row>
    <row r="98" spans="9:14" x14ac:dyDescent="0.25">
      <c r="I98">
        <v>21</v>
      </c>
      <c r="J98" s="26">
        <v>46402</v>
      </c>
    </row>
    <row r="99" spans="9:14" x14ac:dyDescent="0.25">
      <c r="I99">
        <f>SUM(I89:I98)</f>
        <v>290.37</v>
      </c>
    </row>
    <row r="104" spans="9:14" x14ac:dyDescent="0.25">
      <c r="L104">
        <v>219.54</v>
      </c>
      <c r="M104">
        <v>185.94</v>
      </c>
    </row>
    <row r="105" spans="9:14" x14ac:dyDescent="0.25">
      <c r="L105">
        <f>L104*2</f>
        <v>439.08</v>
      </c>
      <c r="M105">
        <f>M104*3</f>
        <v>557.81999999999994</v>
      </c>
      <c r="N105">
        <f>M105-533</f>
        <v>24.819999999999936</v>
      </c>
    </row>
    <row r="108" spans="9:14" x14ac:dyDescent="0.25">
      <c r="N108">
        <f>L104-603</f>
        <v>-383.46000000000004</v>
      </c>
    </row>
    <row r="120" spans="19:20" x14ac:dyDescent="0.25">
      <c r="S120">
        <v>56.53</v>
      </c>
    </row>
    <row r="121" spans="19:20" x14ac:dyDescent="0.25">
      <c r="S121">
        <v>40.47</v>
      </c>
    </row>
    <row r="122" spans="19:20" x14ac:dyDescent="0.25">
      <c r="S122">
        <v>33.5</v>
      </c>
    </row>
    <row r="123" spans="19:20" x14ac:dyDescent="0.25">
      <c r="S123">
        <v>8.5399999999999991</v>
      </c>
    </row>
    <row r="124" spans="19:20" x14ac:dyDescent="0.25">
      <c r="S124">
        <v>5</v>
      </c>
    </row>
    <row r="125" spans="19:20" x14ac:dyDescent="0.25">
      <c r="S125">
        <v>20.8</v>
      </c>
    </row>
    <row r="126" spans="19:20" x14ac:dyDescent="0.25">
      <c r="S126">
        <v>5.45</v>
      </c>
    </row>
    <row r="127" spans="19:20" x14ac:dyDescent="0.25">
      <c r="S127">
        <v>4.78</v>
      </c>
    </row>
    <row r="128" spans="19:20" x14ac:dyDescent="0.25">
      <c r="T128" t="s">
        <v>96</v>
      </c>
    </row>
    <row r="129" spans="15:20" x14ac:dyDescent="0.25">
      <c r="S129">
        <v>51.32</v>
      </c>
    </row>
    <row r="130" spans="15:20" x14ac:dyDescent="0.25">
      <c r="S130">
        <f>SUM(S120:S129)</f>
        <v>226.39</v>
      </c>
    </row>
    <row r="135" spans="15:20" x14ac:dyDescent="0.25">
      <c r="O135" t="s">
        <v>97</v>
      </c>
    </row>
    <row r="136" spans="15:20" x14ac:dyDescent="0.25">
      <c r="O136">
        <v>46.2</v>
      </c>
    </row>
    <row r="137" spans="15:20" x14ac:dyDescent="0.25">
      <c r="O137">
        <v>38.5</v>
      </c>
    </row>
    <row r="138" spans="15:20" x14ac:dyDescent="0.25">
      <c r="O138">
        <v>30</v>
      </c>
      <c r="T138">
        <f>S130-O140</f>
        <v>81.69</v>
      </c>
    </row>
    <row r="139" spans="15:20" x14ac:dyDescent="0.25">
      <c r="O139">
        <v>30</v>
      </c>
    </row>
    <row r="140" spans="15:20" x14ac:dyDescent="0.25">
      <c r="O140">
        <f>SUM(O136:O139)</f>
        <v>144.69999999999999</v>
      </c>
    </row>
  </sheetData>
  <mergeCells count="2">
    <mergeCell ref="E6:H6"/>
    <mergeCell ref="J69:K69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ADAD-2AB9-47F3-87E9-4837911EFE30}">
  <dimension ref="A3:AJ90"/>
  <sheetViews>
    <sheetView tabSelected="1" topLeftCell="Y112" workbookViewId="0">
      <selection sqref="A1:AQ146"/>
    </sheetView>
  </sheetViews>
  <sheetFormatPr baseColWidth="10" defaultRowHeight="15" x14ac:dyDescent="0.25"/>
  <cols>
    <col min="1" max="1" width="41.5703125" customWidth="1"/>
    <col min="5" max="5" width="35.28515625" bestFit="1" customWidth="1"/>
    <col min="15" max="15" width="20.85546875" bestFit="1" customWidth="1"/>
    <col min="19" max="19" width="20.85546875" bestFit="1" customWidth="1"/>
    <col min="22" max="23" width="20.5703125" bestFit="1" customWidth="1"/>
    <col min="24" max="24" width="6.5703125" bestFit="1" customWidth="1"/>
    <col min="25" max="25" width="20.5703125" bestFit="1" customWidth="1"/>
    <col min="27" max="27" width="20.5703125" bestFit="1" customWidth="1"/>
    <col min="31" max="31" width="20.5703125" bestFit="1" customWidth="1"/>
  </cols>
  <sheetData>
    <row r="3" spans="1:17" ht="15.75" thickBot="1" x14ac:dyDescent="0.3">
      <c r="A3" t="s">
        <v>17</v>
      </c>
      <c r="B3">
        <v>74.97</v>
      </c>
      <c r="E3" s="34" t="s">
        <v>0</v>
      </c>
    </row>
    <row r="4" spans="1:17" ht="16.5" thickTop="1" thickBot="1" x14ac:dyDescent="0.3">
      <c r="A4" s="3" t="s">
        <v>1</v>
      </c>
      <c r="B4" s="3">
        <v>900</v>
      </c>
      <c r="D4" s="8"/>
      <c r="E4" s="24" t="s">
        <v>4</v>
      </c>
      <c r="F4" s="18" t="s">
        <v>91</v>
      </c>
      <c r="G4" s="18" t="s">
        <v>29</v>
      </c>
      <c r="H4" s="18" t="s">
        <v>42</v>
      </c>
      <c r="I4" s="18" t="s">
        <v>43</v>
      </c>
      <c r="J4" s="18" t="s">
        <v>47</v>
      </c>
      <c r="K4" s="18" t="s">
        <v>48</v>
      </c>
      <c r="L4" s="18" t="s">
        <v>49</v>
      </c>
      <c r="M4" s="18" t="s">
        <v>50</v>
      </c>
      <c r="N4" s="18" t="s">
        <v>51</v>
      </c>
      <c r="O4" s="18" t="s">
        <v>52</v>
      </c>
      <c r="P4" s="18" t="s">
        <v>68</v>
      </c>
      <c r="Q4" s="18" t="s">
        <v>69</v>
      </c>
    </row>
    <row r="5" spans="1:17" ht="16.5" thickTop="1" thickBot="1" x14ac:dyDescent="0.3">
      <c r="E5" s="35" t="s">
        <v>20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16.5" thickTop="1" thickBot="1" x14ac:dyDescent="0.3">
      <c r="E6" s="35" t="s">
        <v>6</v>
      </c>
      <c r="F6" s="20"/>
      <c r="G6" s="20">
        <v>30</v>
      </c>
      <c r="H6" s="20"/>
      <c r="I6" s="20">
        <v>30</v>
      </c>
      <c r="J6" s="20"/>
      <c r="K6" s="20">
        <v>30</v>
      </c>
      <c r="L6" s="20"/>
      <c r="M6" s="20">
        <v>30</v>
      </c>
      <c r="N6" s="20"/>
      <c r="O6" s="20">
        <v>30</v>
      </c>
      <c r="P6" s="20"/>
      <c r="Q6" s="20">
        <v>30</v>
      </c>
    </row>
    <row r="7" spans="1:17" ht="16.5" thickTop="1" thickBot="1" x14ac:dyDescent="0.3">
      <c r="E7" s="35" t="s">
        <v>7</v>
      </c>
      <c r="F7" s="20"/>
      <c r="G7" s="20">
        <v>20</v>
      </c>
      <c r="H7" s="20"/>
      <c r="I7" s="20">
        <v>20</v>
      </c>
      <c r="J7" s="20"/>
      <c r="K7" s="20">
        <v>20</v>
      </c>
      <c r="L7" s="20"/>
      <c r="M7" s="20">
        <v>20</v>
      </c>
      <c r="N7" s="20"/>
      <c r="O7" s="20">
        <v>20</v>
      </c>
      <c r="P7" s="20"/>
      <c r="Q7" s="20">
        <v>20</v>
      </c>
    </row>
    <row r="8" spans="1:17" ht="16.5" thickTop="1" thickBot="1" x14ac:dyDescent="0.3">
      <c r="E8" s="35" t="s">
        <v>22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ht="16.5" thickTop="1" thickBot="1" x14ac:dyDescent="0.3">
      <c r="A9" s="1" t="s">
        <v>3</v>
      </c>
      <c r="B9" s="1">
        <f>B4*9.45%</f>
        <v>85.049999999999983</v>
      </c>
      <c r="E9" s="35" t="s">
        <v>95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ht="16.5" thickTop="1" thickBot="1" x14ac:dyDescent="0.3">
      <c r="A10" s="1" t="s">
        <v>14</v>
      </c>
      <c r="B10" s="1">
        <v>23</v>
      </c>
      <c r="E10" s="35" t="s">
        <v>77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16.5" thickTop="1" thickBot="1" x14ac:dyDescent="0.3">
      <c r="A11" s="1" t="s">
        <v>11</v>
      </c>
      <c r="B11" s="1">
        <v>25</v>
      </c>
      <c r="E11" s="35" t="s">
        <v>15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ht="16.5" thickTop="1" thickBot="1" x14ac:dyDescent="0.3">
      <c r="E12" s="35" t="s">
        <v>18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ht="16.5" thickTop="1" thickBot="1" x14ac:dyDescent="0.3">
      <c r="A13" s="3" t="s">
        <v>2</v>
      </c>
      <c r="B13" s="3">
        <f>B4*0.4</f>
        <v>360</v>
      </c>
      <c r="E13" s="35" t="s">
        <v>16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16.5" thickTop="1" thickBot="1" x14ac:dyDescent="0.3">
      <c r="A14" s="5" t="s">
        <v>10</v>
      </c>
      <c r="B14" s="6">
        <f>B4-B9-B13-B10-B11</f>
        <v>406.95000000000005</v>
      </c>
      <c r="E14" s="35" t="s">
        <v>8</v>
      </c>
      <c r="F14" s="20">
        <v>30</v>
      </c>
      <c r="G14" s="20">
        <v>30</v>
      </c>
      <c r="H14" s="20">
        <v>30</v>
      </c>
      <c r="I14" s="20">
        <v>30</v>
      </c>
      <c r="J14" s="20">
        <v>30</v>
      </c>
      <c r="K14" s="20">
        <v>30</v>
      </c>
      <c r="L14" s="20">
        <v>30</v>
      </c>
      <c r="M14" s="20">
        <v>30</v>
      </c>
      <c r="N14" s="20">
        <v>30</v>
      </c>
      <c r="O14" s="20">
        <v>30</v>
      </c>
      <c r="P14" s="20">
        <v>30</v>
      </c>
      <c r="Q14" s="20">
        <v>30</v>
      </c>
    </row>
    <row r="15" spans="1:17" ht="16.5" thickTop="1" thickBot="1" x14ac:dyDescent="0.3">
      <c r="E15" s="35" t="s">
        <v>9</v>
      </c>
      <c r="F15" s="20">
        <v>40</v>
      </c>
      <c r="G15" s="20">
        <v>40</v>
      </c>
      <c r="H15" s="20">
        <v>40</v>
      </c>
      <c r="I15" s="20">
        <v>40</v>
      </c>
      <c r="J15" s="20">
        <v>40</v>
      </c>
      <c r="K15" s="20">
        <v>40</v>
      </c>
      <c r="L15" s="20">
        <v>40</v>
      </c>
      <c r="M15" s="20">
        <v>40</v>
      </c>
      <c r="N15" s="20">
        <v>40</v>
      </c>
      <c r="O15" s="20">
        <v>40</v>
      </c>
      <c r="P15" s="20">
        <v>40</v>
      </c>
      <c r="Q15" s="20">
        <v>40</v>
      </c>
    </row>
    <row r="16" spans="1:17" ht="16.5" thickTop="1" thickBot="1" x14ac:dyDescent="0.3">
      <c r="E16" s="35" t="s">
        <v>23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2:17" ht="16.5" thickTop="1" thickBot="1" x14ac:dyDescent="0.3">
      <c r="E17" s="35" t="s">
        <v>40</v>
      </c>
      <c r="F17" s="21"/>
      <c r="G17" s="21">
        <v>35</v>
      </c>
      <c r="H17" s="21"/>
      <c r="I17" s="21">
        <v>35</v>
      </c>
      <c r="J17" s="21"/>
      <c r="K17" s="21">
        <v>35</v>
      </c>
      <c r="L17" s="21"/>
      <c r="M17" s="21">
        <v>35</v>
      </c>
      <c r="N17" s="21"/>
      <c r="O17" s="21"/>
      <c r="P17" s="21"/>
      <c r="Q17" s="21"/>
    </row>
    <row r="18" spans="2:17" ht="16.5" thickTop="1" thickBot="1" x14ac:dyDescent="0.3">
      <c r="B18" s="15">
        <f>B13+B14+B3</f>
        <v>841.92000000000007</v>
      </c>
      <c r="C18" s="15"/>
      <c r="E18" s="35" t="s">
        <v>32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2:17" ht="16.5" thickTop="1" thickBot="1" x14ac:dyDescent="0.3">
      <c r="E19" s="35" t="s">
        <v>12</v>
      </c>
      <c r="F19" s="20"/>
      <c r="G19" s="20">
        <v>10</v>
      </c>
      <c r="H19" s="20"/>
      <c r="I19" s="20">
        <v>10</v>
      </c>
      <c r="J19" s="20"/>
      <c r="K19" s="20">
        <v>10</v>
      </c>
      <c r="L19" s="20"/>
      <c r="M19" s="20">
        <v>10</v>
      </c>
      <c r="N19" s="20"/>
      <c r="O19" s="20">
        <v>10</v>
      </c>
      <c r="P19" s="20"/>
      <c r="Q19" s="20">
        <v>10</v>
      </c>
    </row>
    <row r="20" spans="2:17" ht="16.5" thickTop="1" thickBot="1" x14ac:dyDescent="0.3">
      <c r="E20" s="35" t="s">
        <v>19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2:17" ht="16.5" thickTop="1" thickBot="1" x14ac:dyDescent="0.3">
      <c r="E21" s="35" t="s">
        <v>13</v>
      </c>
      <c r="F21" s="20"/>
      <c r="G21" s="20">
        <v>30</v>
      </c>
      <c r="H21" s="20"/>
      <c r="I21" s="20">
        <v>30</v>
      </c>
      <c r="J21" s="20"/>
      <c r="K21" s="20">
        <v>30</v>
      </c>
      <c r="L21" s="20"/>
      <c r="M21" s="20">
        <v>30</v>
      </c>
      <c r="N21" s="20"/>
      <c r="O21" s="20">
        <v>30</v>
      </c>
      <c r="P21" s="20"/>
      <c r="Q21" s="20">
        <v>30</v>
      </c>
    </row>
    <row r="22" spans="2:17" ht="16.5" thickTop="1" thickBot="1" x14ac:dyDescent="0.3">
      <c r="E22" s="35" t="s">
        <v>137</v>
      </c>
      <c r="F22" s="21">
        <v>15</v>
      </c>
      <c r="G22" s="21">
        <v>15</v>
      </c>
      <c r="H22" s="21">
        <v>15</v>
      </c>
      <c r="I22" s="21">
        <v>15</v>
      </c>
      <c r="J22" s="21">
        <v>15</v>
      </c>
      <c r="K22" s="21">
        <v>15</v>
      </c>
      <c r="L22" s="21">
        <v>15</v>
      </c>
      <c r="M22" s="21"/>
      <c r="N22" s="21"/>
      <c r="O22" s="21"/>
      <c r="P22" s="21"/>
      <c r="Q22" s="21"/>
    </row>
    <row r="23" spans="2:17" ht="16.5" thickTop="1" thickBot="1" x14ac:dyDescent="0.3">
      <c r="E23" s="35" t="s">
        <v>21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spans="2:17" ht="16.5" thickTop="1" thickBot="1" x14ac:dyDescent="0.3">
      <c r="E24" s="35" t="s">
        <v>118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2:17" ht="16.5" thickTop="1" thickBot="1" x14ac:dyDescent="0.3">
      <c r="D25" s="8"/>
      <c r="E25" s="30" t="s">
        <v>108</v>
      </c>
      <c r="F25" s="29">
        <v>150</v>
      </c>
      <c r="G25" s="29"/>
      <c r="H25" s="29">
        <v>150</v>
      </c>
      <c r="I25" s="29"/>
      <c r="J25" s="29">
        <v>150</v>
      </c>
      <c r="K25" s="29"/>
      <c r="L25" s="29">
        <v>150</v>
      </c>
      <c r="M25" s="29"/>
      <c r="N25" s="40">
        <v>150</v>
      </c>
      <c r="O25" s="29"/>
      <c r="P25" s="29">
        <v>150</v>
      </c>
      <c r="Q25" s="29"/>
    </row>
    <row r="26" spans="2:17" ht="16.5" thickTop="1" thickBot="1" x14ac:dyDescent="0.3">
      <c r="E26" s="35"/>
      <c r="F26" s="20"/>
      <c r="G26" s="20"/>
      <c r="H26" s="20"/>
      <c r="I26" s="20"/>
      <c r="J26" s="20"/>
      <c r="K26" s="20"/>
      <c r="L26" s="20"/>
      <c r="M26" s="20"/>
      <c r="N26" s="40"/>
      <c r="O26" s="20"/>
      <c r="P26" s="20"/>
      <c r="Q26" s="20"/>
    </row>
    <row r="27" spans="2:17" ht="16.5" thickTop="1" thickBot="1" x14ac:dyDescent="0.3">
      <c r="E27" s="35"/>
      <c r="F27" s="20"/>
      <c r="G27" s="22"/>
      <c r="H27" s="20"/>
      <c r="I27" s="22"/>
      <c r="J27" s="20"/>
      <c r="K27" s="22"/>
      <c r="L27" s="20"/>
      <c r="M27" s="22"/>
      <c r="N27" s="40"/>
      <c r="O27" s="22"/>
      <c r="P27" s="20"/>
      <c r="Q27" s="22"/>
    </row>
    <row r="28" spans="2:17" ht="16.5" thickTop="1" thickBot="1" x14ac:dyDescent="0.3">
      <c r="E28" s="9" t="s">
        <v>5</v>
      </c>
      <c r="F28" s="23">
        <f>B13-SUM(F5:F27)</f>
        <v>125</v>
      </c>
      <c r="G28" s="31">
        <f>B14-SUM(G5:G27)</f>
        <v>196.95000000000005</v>
      </c>
      <c r="H28" s="23">
        <f>B13-SUM(H5:H27)</f>
        <v>125</v>
      </c>
      <c r="I28" s="31">
        <f>B14-SUM(I5:I27)</f>
        <v>196.95000000000005</v>
      </c>
      <c r="J28" s="23">
        <f>B13-SUM(J5:J27)</f>
        <v>125</v>
      </c>
      <c r="K28" s="31">
        <f>B14-SUM(K5:K27)</f>
        <v>196.95000000000005</v>
      </c>
      <c r="L28" s="23">
        <f>B13-SUM(L5:L27)</f>
        <v>125</v>
      </c>
      <c r="M28" s="31">
        <f>B14-SUM(M5:M27)</f>
        <v>211.95000000000005</v>
      </c>
      <c r="N28" s="41">
        <f>B13-SUM(N5:N27)</f>
        <v>140</v>
      </c>
      <c r="O28" s="31">
        <f>B14-SUM(O5:O27)</f>
        <v>246.95000000000005</v>
      </c>
      <c r="P28" s="23">
        <f>B13-SUM(P5:P27)</f>
        <v>140</v>
      </c>
      <c r="Q28" s="31">
        <f>B14-SUM(Q5:Q27)</f>
        <v>246.95000000000005</v>
      </c>
    </row>
    <row r="29" spans="2:17" ht="15.75" thickTop="1" x14ac:dyDescent="0.25"/>
    <row r="30" spans="2:17" x14ac:dyDescent="0.25">
      <c r="E30" s="17" t="s">
        <v>17</v>
      </c>
      <c r="G30" s="1">
        <f>B3</f>
        <v>74.97</v>
      </c>
      <c r="I30" s="1">
        <f>B3</f>
        <v>74.97</v>
      </c>
      <c r="K30" s="1">
        <f>B3</f>
        <v>74.97</v>
      </c>
      <c r="M30" s="1">
        <f>B3</f>
        <v>74.97</v>
      </c>
      <c r="O30" s="1">
        <f>B3</f>
        <v>74.97</v>
      </c>
      <c r="Q30" s="1">
        <f>B3</f>
        <v>74.97</v>
      </c>
    </row>
    <row r="31" spans="2:17" x14ac:dyDescent="0.25">
      <c r="F31" s="14"/>
      <c r="G31" s="14"/>
      <c r="H31" s="14"/>
      <c r="I31" s="14"/>
    </row>
    <row r="33" spans="1:21" x14ac:dyDescent="0.25">
      <c r="A33" t="s">
        <v>100</v>
      </c>
    </row>
    <row r="34" spans="1:21" x14ac:dyDescent="0.25">
      <c r="A34" t="s">
        <v>101</v>
      </c>
      <c r="B34">
        <f>SUM(F42:Q42)</f>
        <v>3018.3399999999997</v>
      </c>
    </row>
    <row r="35" spans="1:21" x14ac:dyDescent="0.25">
      <c r="A35" t="s">
        <v>85</v>
      </c>
      <c r="B35">
        <f>SUM(H49:Q49)</f>
        <v>1860</v>
      </c>
    </row>
    <row r="36" spans="1:21" x14ac:dyDescent="0.25">
      <c r="A36" t="s">
        <v>102</v>
      </c>
      <c r="B36">
        <v>264.19</v>
      </c>
      <c r="T36" t="s">
        <v>90</v>
      </c>
    </row>
    <row r="37" spans="1:21" x14ac:dyDescent="0.25">
      <c r="T37" s="14">
        <v>46259</v>
      </c>
      <c r="U37">
        <v>603.86</v>
      </c>
    </row>
    <row r="38" spans="1:21" x14ac:dyDescent="0.25">
      <c r="A38" t="s">
        <v>103</v>
      </c>
      <c r="B38">
        <f>SUM(B34:B36)</f>
        <v>5142.53</v>
      </c>
      <c r="T38" s="14">
        <v>46290</v>
      </c>
      <c r="U38">
        <v>219.54</v>
      </c>
    </row>
    <row r="39" spans="1:21" x14ac:dyDescent="0.25">
      <c r="F39" t="s">
        <v>98</v>
      </c>
      <c r="T39" s="14">
        <v>46320</v>
      </c>
      <c r="U39">
        <v>219.54</v>
      </c>
    </row>
    <row r="40" spans="1:21" x14ac:dyDescent="0.25">
      <c r="F40" t="s">
        <v>54</v>
      </c>
      <c r="G40" s="36">
        <v>44440</v>
      </c>
      <c r="H40" s="36">
        <v>44470</v>
      </c>
      <c r="I40" s="36">
        <v>44501</v>
      </c>
      <c r="J40" s="36">
        <v>44531</v>
      </c>
      <c r="K40" s="36">
        <v>44197</v>
      </c>
      <c r="L40" s="36">
        <v>44228</v>
      </c>
      <c r="M40" s="5"/>
      <c r="N40" s="5"/>
      <c r="O40" s="5"/>
      <c r="P40" s="5"/>
      <c r="Q40" s="5"/>
      <c r="T40" s="14">
        <v>46351</v>
      </c>
      <c r="U40">
        <v>219.54</v>
      </c>
    </row>
    <row r="41" spans="1:21" x14ac:dyDescent="0.25">
      <c r="F41" s="1" t="s">
        <v>99</v>
      </c>
      <c r="G41" s="5">
        <v>2</v>
      </c>
      <c r="H41" s="5">
        <v>3</v>
      </c>
      <c r="I41" s="5">
        <v>4</v>
      </c>
      <c r="J41" s="5">
        <v>5</v>
      </c>
      <c r="K41" s="5">
        <v>6</v>
      </c>
      <c r="L41" s="5">
        <v>7</v>
      </c>
      <c r="M41" s="5">
        <v>8</v>
      </c>
      <c r="N41" s="5">
        <v>9</v>
      </c>
      <c r="O41" s="5">
        <v>10</v>
      </c>
      <c r="P41" s="5">
        <v>11</v>
      </c>
      <c r="Q41" s="5">
        <v>12</v>
      </c>
      <c r="T41" s="14">
        <v>46381</v>
      </c>
      <c r="U41">
        <v>219.54</v>
      </c>
    </row>
    <row r="42" spans="1:21" x14ac:dyDescent="0.25">
      <c r="F42" s="1">
        <v>603.4</v>
      </c>
      <c r="G42" s="5">
        <v>219.54</v>
      </c>
      <c r="H42" s="5">
        <v>219.54</v>
      </c>
      <c r="I42" s="5">
        <v>219.54</v>
      </c>
      <c r="J42" s="5">
        <v>219.54</v>
      </c>
      <c r="K42" s="5">
        <v>219.54</v>
      </c>
      <c r="L42" s="5">
        <v>219.54</v>
      </c>
      <c r="M42" s="5">
        <v>219.54</v>
      </c>
      <c r="N42" s="5">
        <v>219.54</v>
      </c>
      <c r="O42" s="5">
        <v>219.54</v>
      </c>
      <c r="P42" s="5">
        <v>219.54</v>
      </c>
      <c r="Q42" s="5">
        <v>219.54</v>
      </c>
      <c r="T42" s="14">
        <v>46412</v>
      </c>
      <c r="U42">
        <v>219.54</v>
      </c>
    </row>
    <row r="43" spans="1:21" x14ac:dyDescent="0.25">
      <c r="E43" t="s">
        <v>104</v>
      </c>
      <c r="F43" s="1">
        <v>1.96</v>
      </c>
      <c r="G43">
        <v>1.96</v>
      </c>
      <c r="H43">
        <v>1.96</v>
      </c>
      <c r="I43">
        <v>1.96</v>
      </c>
      <c r="J43">
        <v>1.96</v>
      </c>
      <c r="K43">
        <v>1.96</v>
      </c>
      <c r="L43">
        <v>1.96</v>
      </c>
      <c r="M43">
        <v>1.96</v>
      </c>
      <c r="N43">
        <v>1.96</v>
      </c>
      <c r="O43">
        <v>1.96</v>
      </c>
      <c r="P43">
        <v>1.96</v>
      </c>
      <c r="Q43">
        <v>1.96</v>
      </c>
      <c r="T43" s="14">
        <v>46443</v>
      </c>
      <c r="U43">
        <v>219.54</v>
      </c>
    </row>
    <row r="44" spans="1:21" x14ac:dyDescent="0.25">
      <c r="E44" t="s">
        <v>105</v>
      </c>
      <c r="F44" s="1" t="s">
        <v>119</v>
      </c>
      <c r="T44" s="14">
        <v>46471</v>
      </c>
      <c r="U44">
        <v>219.54</v>
      </c>
    </row>
    <row r="45" spans="1:21" x14ac:dyDescent="0.25">
      <c r="T45" s="14">
        <v>46502</v>
      </c>
      <c r="U45">
        <v>219.54</v>
      </c>
    </row>
    <row r="47" spans="1:21" x14ac:dyDescent="0.25">
      <c r="F47" t="s">
        <v>78</v>
      </c>
    </row>
    <row r="48" spans="1:21" x14ac:dyDescent="0.25">
      <c r="F48" s="2">
        <v>1</v>
      </c>
      <c r="G48" s="2">
        <v>2</v>
      </c>
      <c r="H48" s="24">
        <v>3</v>
      </c>
      <c r="I48" s="24">
        <v>4</v>
      </c>
      <c r="J48" s="24">
        <v>5</v>
      </c>
      <c r="K48" s="24">
        <v>6</v>
      </c>
      <c r="L48" s="24">
        <v>7</v>
      </c>
      <c r="M48" s="24">
        <v>8</v>
      </c>
      <c r="N48" s="24">
        <v>9</v>
      </c>
      <c r="O48" s="24">
        <v>10</v>
      </c>
      <c r="P48" s="24">
        <v>11</v>
      </c>
      <c r="Q48" s="24">
        <v>12</v>
      </c>
    </row>
    <row r="49" spans="6:36" x14ac:dyDescent="0.25">
      <c r="F49" s="2">
        <v>186</v>
      </c>
      <c r="G49" s="2">
        <v>186</v>
      </c>
      <c r="H49" s="24">
        <v>186</v>
      </c>
      <c r="I49" s="24">
        <v>186</v>
      </c>
      <c r="J49" s="24">
        <v>186</v>
      </c>
      <c r="K49" s="24">
        <v>186</v>
      </c>
      <c r="L49" s="24">
        <v>186</v>
      </c>
      <c r="M49" s="24">
        <v>186</v>
      </c>
      <c r="N49" s="24">
        <v>186</v>
      </c>
      <c r="O49" s="24">
        <v>186</v>
      </c>
      <c r="P49" s="24">
        <v>186</v>
      </c>
      <c r="Q49" s="24">
        <v>186</v>
      </c>
    </row>
    <row r="50" spans="6:36" x14ac:dyDescent="0.25">
      <c r="G50" t="s">
        <v>111</v>
      </c>
    </row>
    <row r="53" spans="6:36" x14ac:dyDescent="0.25">
      <c r="J53">
        <f>J49*2</f>
        <v>372</v>
      </c>
    </row>
    <row r="54" spans="6:36" x14ac:dyDescent="0.25">
      <c r="M54" t="s">
        <v>106</v>
      </c>
    </row>
    <row r="55" spans="6:36" x14ac:dyDescent="0.25">
      <c r="M55" t="s">
        <v>107</v>
      </c>
      <c r="O55" t="s">
        <v>113</v>
      </c>
      <c r="S55" t="s">
        <v>112</v>
      </c>
      <c r="W55" t="s">
        <v>73</v>
      </c>
      <c r="AA55" t="s">
        <v>123</v>
      </c>
      <c r="AE55" t="s">
        <v>139</v>
      </c>
      <c r="AI55" t="s">
        <v>82</v>
      </c>
    </row>
    <row r="56" spans="6:36" x14ac:dyDescent="0.25">
      <c r="O56" s="5" t="s">
        <v>23</v>
      </c>
      <c r="P56" s="5">
        <f>F25</f>
        <v>150</v>
      </c>
      <c r="S56" s="5" t="s">
        <v>23</v>
      </c>
      <c r="T56" s="5">
        <f>H25</f>
        <v>150</v>
      </c>
      <c r="W56" s="5" t="s">
        <v>23</v>
      </c>
      <c r="X56" s="5">
        <f>J25</f>
        <v>150</v>
      </c>
      <c r="AA56" s="5" t="s">
        <v>23</v>
      </c>
      <c r="AB56" s="6">
        <f>L25</f>
        <v>150</v>
      </c>
      <c r="AE56" s="5"/>
      <c r="AF56" s="6"/>
      <c r="AI56" s="5" t="s">
        <v>23</v>
      </c>
      <c r="AJ56" s="6">
        <v>150</v>
      </c>
    </row>
    <row r="58" spans="6:36" x14ac:dyDescent="0.25">
      <c r="O58" s="5" t="s">
        <v>38</v>
      </c>
      <c r="P58" s="15">
        <f>G28</f>
        <v>196.95000000000005</v>
      </c>
      <c r="S58" s="5" t="s">
        <v>38</v>
      </c>
      <c r="T58" s="15">
        <f>I28</f>
        <v>196.95000000000005</v>
      </c>
      <c r="W58" s="5" t="s">
        <v>38</v>
      </c>
      <c r="X58" s="15">
        <f>K28</f>
        <v>196.95000000000005</v>
      </c>
      <c r="AA58" s="5" t="s">
        <v>38</v>
      </c>
      <c r="AB58" s="15">
        <f>M28</f>
        <v>211.95000000000005</v>
      </c>
      <c r="AE58" s="5" t="s">
        <v>38</v>
      </c>
      <c r="AF58" s="15">
        <f>Q28</f>
        <v>246.95000000000005</v>
      </c>
      <c r="AI58" s="5" t="s">
        <v>38</v>
      </c>
      <c r="AJ58" s="15">
        <v>211.95</v>
      </c>
    </row>
    <row r="61" spans="6:36" x14ac:dyDescent="0.25">
      <c r="O61" t="s">
        <v>109</v>
      </c>
      <c r="P61" s="15">
        <f>P56+P58</f>
        <v>346.95000000000005</v>
      </c>
      <c r="S61" t="s">
        <v>109</v>
      </c>
      <c r="T61" s="15">
        <f>T56+T58</f>
        <v>346.95000000000005</v>
      </c>
      <c r="W61" t="s">
        <v>109</v>
      </c>
      <c r="X61" s="15">
        <f>X56+X58</f>
        <v>346.95000000000005</v>
      </c>
      <c r="AA61" t="s">
        <v>109</v>
      </c>
      <c r="AB61" s="15">
        <f>AB56+AB58</f>
        <v>361.95000000000005</v>
      </c>
      <c r="AE61" s="25">
        <v>46295</v>
      </c>
      <c r="AF61" s="15">
        <f>AF56+AF58</f>
        <v>246.95000000000005</v>
      </c>
      <c r="AI61" t="s">
        <v>109</v>
      </c>
      <c r="AJ61" s="15">
        <f>AJ56+AJ58</f>
        <v>361.95</v>
      </c>
    </row>
    <row r="63" spans="6:36" x14ac:dyDescent="0.25">
      <c r="O63" t="s">
        <v>110</v>
      </c>
      <c r="P63" s="15">
        <f>P61+G30+F28</f>
        <v>546.92000000000007</v>
      </c>
      <c r="S63" t="s">
        <v>110</v>
      </c>
      <c r="T63" s="15">
        <f>T61+K30+H28</f>
        <v>546.92000000000007</v>
      </c>
      <c r="W63" t="s">
        <v>110</v>
      </c>
      <c r="X63" s="15">
        <f>X61+K30+J28</f>
        <v>546.92000000000007</v>
      </c>
      <c r="AA63" t="s">
        <v>110</v>
      </c>
      <c r="AB63" s="15">
        <f>AB61+M30+L28</f>
        <v>561.92000000000007</v>
      </c>
      <c r="AE63" t="s">
        <v>110</v>
      </c>
      <c r="AF63" s="15">
        <f>AF61+Q30</f>
        <v>321.92000000000007</v>
      </c>
      <c r="AI63" t="s">
        <v>110</v>
      </c>
      <c r="AJ63" s="15">
        <v>561.91999999999996</v>
      </c>
    </row>
    <row r="65" spans="5:36" x14ac:dyDescent="0.25">
      <c r="F65" t="s">
        <v>116</v>
      </c>
      <c r="P65" s="15"/>
    </row>
    <row r="66" spans="5:36" x14ac:dyDescent="0.25">
      <c r="F66" t="s">
        <v>114</v>
      </c>
      <c r="G66" t="s">
        <v>115</v>
      </c>
    </row>
    <row r="67" spans="5:36" x14ac:dyDescent="0.25">
      <c r="E67" t="s">
        <v>117</v>
      </c>
      <c r="F67">
        <f>SUM(G17:M17)</f>
        <v>140</v>
      </c>
      <c r="G67">
        <v>300</v>
      </c>
      <c r="N67" t="s">
        <v>124</v>
      </c>
      <c r="O67" t="s">
        <v>120</v>
      </c>
      <c r="P67" s="15">
        <f>G42+G43</f>
        <v>221.5</v>
      </c>
      <c r="R67" t="s">
        <v>125</v>
      </c>
      <c r="S67" t="s">
        <v>120</v>
      </c>
      <c r="T67" s="15">
        <f>K42+K43</f>
        <v>221.5</v>
      </c>
      <c r="V67" t="s">
        <v>126</v>
      </c>
      <c r="W67" t="s">
        <v>120</v>
      </c>
      <c r="X67" s="15">
        <f>N43+N42</f>
        <v>221.5</v>
      </c>
      <c r="Z67" t="s">
        <v>127</v>
      </c>
      <c r="AA67" t="s">
        <v>120</v>
      </c>
      <c r="AB67" s="15">
        <f>Q43+Q42</f>
        <v>221.5</v>
      </c>
      <c r="AD67" t="s">
        <v>141</v>
      </c>
      <c r="AE67" t="s">
        <v>120</v>
      </c>
      <c r="AF67" s="15">
        <f>P43+P42</f>
        <v>221.5</v>
      </c>
      <c r="AH67" t="s">
        <v>143</v>
      </c>
      <c r="AI67" t="s">
        <v>120</v>
      </c>
      <c r="AJ67" s="15">
        <v>211.5</v>
      </c>
    </row>
    <row r="68" spans="5:36" x14ac:dyDescent="0.25">
      <c r="N68" t="s">
        <v>125</v>
      </c>
      <c r="O68" t="s">
        <v>121</v>
      </c>
      <c r="P68">
        <f>H49</f>
        <v>186</v>
      </c>
      <c r="R68" t="s">
        <v>126</v>
      </c>
      <c r="S68" t="s">
        <v>121</v>
      </c>
      <c r="T68">
        <f>L49</f>
        <v>186</v>
      </c>
      <c r="V68" t="s">
        <v>127</v>
      </c>
      <c r="W68" t="s">
        <v>121</v>
      </c>
      <c r="X68">
        <f>I49</f>
        <v>186</v>
      </c>
      <c r="Z68" t="s">
        <v>140</v>
      </c>
      <c r="AA68" t="s">
        <v>121</v>
      </c>
      <c r="AB68">
        <f>L49</f>
        <v>186</v>
      </c>
      <c r="AD68" t="s">
        <v>143</v>
      </c>
      <c r="AE68" t="s">
        <v>121</v>
      </c>
      <c r="AF68">
        <f>P49</f>
        <v>186</v>
      </c>
      <c r="AH68" t="s">
        <v>144</v>
      </c>
      <c r="AI68" t="s">
        <v>121</v>
      </c>
      <c r="AJ68">
        <v>186</v>
      </c>
    </row>
    <row r="69" spans="5:36" x14ac:dyDescent="0.25">
      <c r="P69" s="15">
        <f>SUM(P67:P68)</f>
        <v>407.5</v>
      </c>
      <c r="T69" s="15">
        <f>SUM(T67:T68)</f>
        <v>407.5</v>
      </c>
      <c r="X69" s="15">
        <f>SUM(X67:X68)</f>
        <v>407.5</v>
      </c>
      <c r="AB69" s="15">
        <f>SUM(AB67:AB68)</f>
        <v>407.5</v>
      </c>
      <c r="AF69" s="15">
        <f>SUM(AF67:AF68)</f>
        <v>407.5</v>
      </c>
      <c r="AJ69" s="15">
        <f>SUM(AJ67:AJ68)</f>
        <v>397.5</v>
      </c>
    </row>
    <row r="72" spans="5:36" x14ac:dyDescent="0.25">
      <c r="O72" t="s">
        <v>122</v>
      </c>
      <c r="P72" s="15">
        <f>P63-P69</f>
        <v>139.42000000000007</v>
      </c>
      <c r="S72" t="s">
        <v>122</v>
      </c>
      <c r="T72" s="15">
        <f>T63-T69</f>
        <v>139.42000000000007</v>
      </c>
      <c r="W72" t="s">
        <v>122</v>
      </c>
      <c r="X72" s="15">
        <f>X63-X69</f>
        <v>139.42000000000007</v>
      </c>
      <c r="AA72" t="s">
        <v>122</v>
      </c>
      <c r="AB72" s="15">
        <f>AB63-AB69</f>
        <v>154.42000000000007</v>
      </c>
      <c r="AE72" t="s">
        <v>142</v>
      </c>
      <c r="AF72" s="15">
        <f>AF63-AF69</f>
        <v>-85.579999999999927</v>
      </c>
      <c r="AI72" t="s">
        <v>122</v>
      </c>
      <c r="AJ72" s="15">
        <f>AJ63-AJ69</f>
        <v>164.41999999999996</v>
      </c>
    </row>
    <row r="76" spans="5:36" x14ac:dyDescent="0.25">
      <c r="F76" t="s">
        <v>135</v>
      </c>
      <c r="H76">
        <f>G17+I17+K17+M17</f>
        <v>140</v>
      </c>
      <c r="T76" t="s">
        <v>128</v>
      </c>
    </row>
    <row r="77" spans="5:36" x14ac:dyDescent="0.25">
      <c r="T77" t="s">
        <v>129</v>
      </c>
      <c r="U77" s="15">
        <f>P72+T72+X72+AB72</f>
        <v>572.68000000000029</v>
      </c>
    </row>
    <row r="78" spans="5:36" x14ac:dyDescent="0.25">
      <c r="F78" t="s">
        <v>130</v>
      </c>
      <c r="S78" t="s">
        <v>140</v>
      </c>
      <c r="T78" t="s">
        <v>120</v>
      </c>
      <c r="U78" s="15">
        <f>T67</f>
        <v>221.5</v>
      </c>
    </row>
    <row r="79" spans="5:36" x14ac:dyDescent="0.25">
      <c r="G79">
        <v>560</v>
      </c>
      <c r="S79" t="s">
        <v>141</v>
      </c>
      <c r="T79" t="s">
        <v>121</v>
      </c>
      <c r="U79">
        <f>T68</f>
        <v>186</v>
      </c>
    </row>
    <row r="80" spans="5:36" x14ac:dyDescent="0.25">
      <c r="F80" t="s">
        <v>131</v>
      </c>
      <c r="G80">
        <v>200</v>
      </c>
      <c r="U80" s="15">
        <f>U77-U78-U79</f>
        <v>165.18000000000029</v>
      </c>
    </row>
    <row r="81" spans="6:8" x14ac:dyDescent="0.25">
      <c r="G81">
        <f>G79-G80+H76</f>
        <v>500</v>
      </c>
    </row>
    <row r="82" spans="6:8" x14ac:dyDescent="0.25">
      <c r="F82" t="s">
        <v>132</v>
      </c>
      <c r="G82">
        <v>150</v>
      </c>
    </row>
    <row r="83" spans="6:8" x14ac:dyDescent="0.25">
      <c r="F83" t="s">
        <v>133</v>
      </c>
      <c r="G83">
        <v>150</v>
      </c>
    </row>
    <row r="84" spans="6:8" x14ac:dyDescent="0.25">
      <c r="F84" t="s">
        <v>134</v>
      </c>
      <c r="G84">
        <v>150</v>
      </c>
    </row>
    <row r="85" spans="6:8" x14ac:dyDescent="0.25">
      <c r="G85">
        <f>G84+G83+G82</f>
        <v>450</v>
      </c>
    </row>
    <row r="86" spans="6:8" x14ac:dyDescent="0.25">
      <c r="F86" t="s">
        <v>37</v>
      </c>
      <c r="G86">
        <v>50</v>
      </c>
    </row>
    <row r="88" spans="6:8" x14ac:dyDescent="0.25">
      <c r="F88" t="s">
        <v>136</v>
      </c>
      <c r="H88">
        <f>SUM(G86+F22,G22,H22,I22,J22,K22,L22)</f>
        <v>155</v>
      </c>
    </row>
    <row r="89" spans="6:8" x14ac:dyDescent="0.25">
      <c r="F89" t="s">
        <v>138</v>
      </c>
      <c r="H89" s="15">
        <f>N28+N25</f>
        <v>290</v>
      </c>
    </row>
    <row r="90" spans="6:8" x14ac:dyDescent="0.25">
      <c r="H90" s="15">
        <f>H89+H88</f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ISRAEL GURUMENDI</dc:creator>
  <cp:lastModifiedBy>DIEGO ISRAEL GURUMENDI</cp:lastModifiedBy>
  <dcterms:created xsi:type="dcterms:W3CDTF">2024-11-13T15:43:39Z</dcterms:created>
  <dcterms:modified xsi:type="dcterms:W3CDTF">2026-08-26T15:43:24Z</dcterms:modified>
</cp:coreProperties>
</file>